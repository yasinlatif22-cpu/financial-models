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inlatif/Desktop/"/>
    </mc:Choice>
  </mc:AlternateContent>
  <xr:revisionPtr revIDLastSave="0" documentId="13_ncr:1_{2ABD6300-C3A1-F84D-A2F5-56DF1F356A2F}" xr6:coauthVersionLast="47" xr6:coauthVersionMax="47" xr10:uidLastSave="{00000000-0000-0000-0000-000000000000}"/>
  <bookViews>
    <workbookView xWindow="0" yWindow="780" windowWidth="36000" windowHeight="22600" activeTab="5" xr2:uid="{52A5F1F0-E249-9A4D-91DF-0F62AF71A721}"/>
  </bookViews>
  <sheets>
    <sheet name="Assumptions" sheetId="1" r:id="rId1"/>
    <sheet name="Historicals" sheetId="5" r:id="rId2"/>
    <sheet name="Projections" sheetId="3" r:id="rId3"/>
    <sheet name="DCF" sheetId="7" r:id="rId4"/>
    <sheet name="WACC" sheetId="4" r:id="rId5"/>
    <sheet name="Sensitivity" sheetId="6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6" l="1" a="1"/>
  <c r="D20" i="6" a="1"/>
  <c r="E20" i="6" a="1"/>
  <c r="F20" i="6" a="1"/>
  <c r="G20" i="6" a="1"/>
  <c r="C21" i="6" a="1"/>
  <c r="D21" i="6" a="1"/>
  <c r="E21" i="6" a="1"/>
  <c r="F21" i="6" a="1"/>
  <c r="G21" i="6" a="1"/>
  <c r="C22" i="6" a="1"/>
  <c r="D22" i="6" a="1"/>
  <c r="E22" i="6" a="1"/>
  <c r="F22" i="6" a="1"/>
  <c r="G22" i="6" a="1"/>
  <c r="C23" i="6" a="1"/>
  <c r="D23" i="6" a="1"/>
  <c r="E23" i="6" a="1"/>
  <c r="F23" i="6" a="1"/>
  <c r="G23" i="6" a="1"/>
  <c r="D19" i="6" a="1"/>
  <c r="E19" i="6" a="1"/>
  <c r="F19" i="6" a="1"/>
  <c r="G19" i="6" a="1"/>
  <c r="C19" i="6" a="1"/>
  <c r="B23" i="6"/>
  <c r="B22" i="6"/>
  <c r="B19" i="6"/>
  <c r="B20" i="6"/>
  <c r="B21" i="6"/>
  <c r="G18" i="6"/>
  <c r="F18" i="6"/>
  <c r="C18" i="6"/>
  <c r="D18" i="6"/>
  <c r="E18" i="6"/>
  <c r="D9" i="6" a="1"/>
  <c r="E9" i="6" a="1"/>
  <c r="F9" i="6" a="1"/>
  <c r="G9" i="6" a="1"/>
  <c r="D10" i="6" a="1"/>
  <c r="E10" i="6" a="1"/>
  <c r="F10" i="6" a="1"/>
  <c r="G10" i="6" a="1"/>
  <c r="D11" i="6" a="1"/>
  <c r="E11" i="6" a="1"/>
  <c r="F11" i="6" a="1"/>
  <c r="G11" i="6" a="1"/>
  <c r="D12" i="6" a="1"/>
  <c r="E12" i="6" a="1"/>
  <c r="F12" i="6" a="1"/>
  <c r="G12" i="6" a="1"/>
  <c r="D13" i="6" a="1"/>
  <c r="E13" i="6" a="1"/>
  <c r="F13" i="6" a="1"/>
  <c r="G13" i="6" a="1"/>
  <c r="C10" i="6" a="1"/>
  <c r="C11" i="6" a="1"/>
  <c r="C12" i="6" a="1"/>
  <c r="C13" i="6" a="1"/>
  <c r="C9" i="6" a="1"/>
  <c r="B13" i="6"/>
  <c r="B12" i="6"/>
  <c r="B9" i="6"/>
  <c r="B10" i="6"/>
  <c r="B11" i="6"/>
  <c r="G8" i="6"/>
  <c r="F8" i="6"/>
  <c r="C8" i="6"/>
  <c r="D8" i="6"/>
  <c r="E8" i="6"/>
  <c r="C46" i="7"/>
  <c r="C43" i="7"/>
  <c r="C44" i="7" s="1"/>
  <c r="C47" i="7"/>
  <c r="C42" i="7"/>
  <c r="C41" i="7"/>
  <c r="C39" i="7"/>
  <c r="C38" i="7"/>
  <c r="C22" i="7"/>
  <c r="C18" i="7"/>
  <c r="J16" i="7"/>
  <c r="K16" i="7"/>
  <c r="L16" i="7"/>
  <c r="I16" i="7"/>
  <c r="C34" i="7"/>
  <c r="C32" i="7"/>
  <c r="C30" i="7"/>
  <c r="C29" i="7"/>
  <c r="C23" i="7"/>
  <c r="C24" i="7" s="1"/>
  <c r="C28" i="7" s="1"/>
  <c r="C21" i="7"/>
  <c r="J17" i="7"/>
  <c r="K17" i="7"/>
  <c r="L17" i="7"/>
  <c r="I17" i="7"/>
  <c r="K15" i="7"/>
  <c r="L15" i="7" s="1"/>
  <c r="J15" i="7"/>
  <c r="J14" i="7"/>
  <c r="K14" i="7"/>
  <c r="L14" i="7"/>
  <c r="I14" i="7"/>
  <c r="C11" i="7"/>
  <c r="C8" i="7"/>
  <c r="C13" i="4"/>
  <c r="C15" i="4" s="1"/>
  <c r="C21" i="4"/>
  <c r="C20" i="4"/>
  <c r="C19" i="4"/>
  <c r="C14" i="4"/>
  <c r="C10" i="4"/>
  <c r="D11" i="3"/>
  <c r="E11" i="3"/>
  <c r="F11" i="3"/>
  <c r="G11" i="3"/>
  <c r="C11" i="3"/>
  <c r="E9" i="3"/>
  <c r="F9" i="3"/>
  <c r="G9" i="3"/>
  <c r="D18" i="3"/>
  <c r="E18" i="3"/>
  <c r="F18" i="3"/>
  <c r="G18" i="3"/>
  <c r="D17" i="3"/>
  <c r="E17" i="3"/>
  <c r="F17" i="3"/>
  <c r="G17" i="3"/>
  <c r="D10" i="3"/>
  <c r="E10" i="3"/>
  <c r="F10" i="3"/>
  <c r="G10" i="3"/>
  <c r="D8" i="3"/>
  <c r="D9" i="3" s="1"/>
  <c r="E8" i="3"/>
  <c r="F8" i="3"/>
  <c r="G8" i="3"/>
  <c r="C18" i="3"/>
  <c r="C17" i="3"/>
  <c r="C10" i="3"/>
  <c r="C8" i="3"/>
  <c r="I15" i="1"/>
  <c r="J15" i="1" s="1"/>
  <c r="K15" i="1" s="1"/>
  <c r="L15" i="1" s="1"/>
  <c r="I14" i="1"/>
  <c r="J14" i="1" s="1"/>
  <c r="K14" i="1" s="1"/>
  <c r="L14" i="1" s="1"/>
  <c r="D16" i="1"/>
  <c r="H16" i="1" s="1"/>
  <c r="E16" i="1"/>
  <c r="F16" i="1"/>
  <c r="G16" i="1"/>
  <c r="C16" i="1"/>
  <c r="K8" i="1"/>
  <c r="C24" i="1"/>
  <c r="H8" i="1" s="1"/>
  <c r="C23" i="1"/>
  <c r="C21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H11" i="1" s="1"/>
  <c r="I11" i="1" s="1"/>
  <c r="J11" i="1" s="1"/>
  <c r="K11" i="1" s="1"/>
  <c r="L11" i="1" s="1"/>
  <c r="F11" i="1"/>
  <c r="G11" i="1"/>
  <c r="D12" i="1"/>
  <c r="E12" i="1"/>
  <c r="F12" i="1"/>
  <c r="G12" i="1"/>
  <c r="H12" i="1" s="1"/>
  <c r="I12" i="1" s="1"/>
  <c r="J12" i="1" s="1"/>
  <c r="K12" i="1" s="1"/>
  <c r="L12" i="1" s="1"/>
  <c r="D13" i="1"/>
  <c r="E13" i="1"/>
  <c r="F13" i="1"/>
  <c r="G13" i="1"/>
  <c r="D8" i="1"/>
  <c r="C13" i="1"/>
  <c r="C12" i="1"/>
  <c r="C11" i="1"/>
  <c r="C10" i="1"/>
  <c r="C9" i="1"/>
  <c r="C35" i="5"/>
  <c r="C31" i="5"/>
  <c r="D18" i="5"/>
  <c r="D19" i="5" s="1"/>
  <c r="D17" i="5"/>
  <c r="E17" i="5"/>
  <c r="E18" i="5" s="1"/>
  <c r="E19" i="5" s="1"/>
  <c r="F17" i="5"/>
  <c r="F18" i="5" s="1"/>
  <c r="F19" i="5" s="1"/>
  <c r="G17" i="5"/>
  <c r="G18" i="5" s="1"/>
  <c r="G19" i="5" s="1"/>
  <c r="C17" i="5"/>
  <c r="C18" i="5" s="1"/>
  <c r="C19" i="5" s="1"/>
  <c r="L6" i="3"/>
  <c r="K6" i="3"/>
  <c r="J6" i="3"/>
  <c r="I6" i="3"/>
  <c r="H6" i="3"/>
  <c r="G6" i="3"/>
  <c r="F6" i="3"/>
  <c r="E6" i="3"/>
  <c r="D6" i="3"/>
  <c r="C6" i="3"/>
  <c r="L6" i="1"/>
  <c r="K6" i="1"/>
  <c r="J6" i="1"/>
  <c r="I6" i="1"/>
  <c r="H6" i="1"/>
  <c r="G6" i="1"/>
  <c r="F6" i="1"/>
  <c r="E6" i="1"/>
  <c r="D6" i="1"/>
  <c r="C6" i="1"/>
  <c r="I6" i="5"/>
  <c r="J6" i="5"/>
  <c r="K6" i="5"/>
  <c r="L6" i="5"/>
  <c r="H6" i="5"/>
  <c r="D6" i="5"/>
  <c r="E6" i="5"/>
  <c r="F6" i="5"/>
  <c r="G6" i="5"/>
  <c r="C6" i="5"/>
  <c r="C31" i="7" l="1"/>
  <c r="C33" i="7" s="1"/>
  <c r="C35" i="7" s="1"/>
  <c r="C25" i="7"/>
  <c r="C22" i="4"/>
  <c r="H9" i="1"/>
  <c r="I16" i="1"/>
  <c r="H8" i="3"/>
  <c r="C24" i="4" l="1"/>
  <c r="C23" i="4"/>
  <c r="C26" i="4" s="1"/>
  <c r="J16" i="1"/>
  <c r="I9" i="1"/>
  <c r="H9" i="3"/>
  <c r="I8" i="3"/>
  <c r="H10" i="3"/>
  <c r="H19" i="3"/>
  <c r="H18" i="3"/>
  <c r="H17" i="3"/>
  <c r="I17" i="3" l="1"/>
  <c r="I10" i="3"/>
  <c r="I9" i="3"/>
  <c r="I19" i="3"/>
  <c r="I18" i="3"/>
  <c r="J8" i="3"/>
  <c r="H11" i="3"/>
  <c r="H14" i="3"/>
  <c r="H15" i="3" s="1"/>
  <c r="H16" i="3" s="1"/>
  <c r="H20" i="3" s="1"/>
  <c r="H21" i="3" s="1"/>
  <c r="K16" i="1"/>
  <c r="J9" i="1"/>
  <c r="I14" i="3" l="1"/>
  <c r="I11" i="3"/>
  <c r="J19" i="3"/>
  <c r="J17" i="3"/>
  <c r="J10" i="3"/>
  <c r="J9" i="3"/>
  <c r="J18" i="3"/>
  <c r="K8" i="3"/>
  <c r="K9" i="1"/>
  <c r="L16" i="1"/>
  <c r="L9" i="1" s="1"/>
  <c r="I15" i="3" l="1"/>
  <c r="I16" i="3"/>
  <c r="I20" i="3" s="1"/>
  <c r="I21" i="3" s="1"/>
  <c r="J11" i="3"/>
  <c r="J14" i="3"/>
  <c r="K19" i="3"/>
  <c r="K9" i="3"/>
  <c r="K10" i="3"/>
  <c r="K18" i="3"/>
  <c r="K17" i="3"/>
  <c r="L8" i="3"/>
  <c r="J15" i="3" l="1"/>
  <c r="J16" i="3"/>
  <c r="J20" i="3" s="1"/>
  <c r="J21" i="3" s="1"/>
  <c r="K11" i="3"/>
  <c r="K14" i="3"/>
  <c r="L19" i="3"/>
  <c r="L9" i="3"/>
  <c r="L18" i="3"/>
  <c r="L17" i="3"/>
  <c r="L10" i="3"/>
  <c r="K15" i="3" l="1"/>
  <c r="K16" i="3" s="1"/>
  <c r="K20" i="3" s="1"/>
  <c r="K21" i="3" s="1"/>
  <c r="L14" i="3"/>
  <c r="L11" i="3"/>
  <c r="L16" i="3" l="1"/>
  <c r="L20" i="3" s="1"/>
  <c r="L21" i="3" s="1"/>
  <c r="L15" i="3"/>
  <c r="C45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<sst xmlns="http://schemas.openxmlformats.org/spreadsheetml/2006/main" count="246" uniqueCount="133">
  <si>
    <t>Visa Inc. (V)</t>
  </si>
  <si>
    <t>Discounted Cash Flow Model</t>
  </si>
  <si>
    <t>Fiscal year ends September 30</t>
  </si>
  <si>
    <t>Units</t>
  </si>
  <si>
    <t>FY2021A</t>
  </si>
  <si>
    <t>Fiscal Year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</si>
  <si>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</si>
  <si>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</si>
  <si>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</si>
  <si>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</si>
  <si>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</si>
  <si>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</si>
  <si>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</si>
  <si>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</si>
  <si>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</si>
  <si>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USD in millions, except per share data</t>
  </si>
  <si>
    <t>Net Revenue</t>
  </si>
  <si>
    <t>Personnel</t>
  </si>
  <si>
    <t>Marketing</t>
  </si>
  <si>
    <t>Professional fees</t>
  </si>
  <si>
    <t xml:space="preserve">Depreciation and amoritization </t>
  </si>
  <si>
    <t>General and administrative</t>
  </si>
  <si>
    <t>Total Operating Expenses</t>
  </si>
  <si>
    <t>Operating Income (calculated)</t>
  </si>
  <si>
    <t>Network and processing</t>
  </si>
  <si>
    <t>$mm</t>
  </si>
  <si>
    <t>Check (should be 0)</t>
  </si>
  <si>
    <t>Litigation provision</t>
  </si>
  <si>
    <t>Operating Income per 10-K</t>
  </si>
  <si>
    <t xml:space="preserve">Cash Flow Items </t>
  </si>
  <si>
    <t>D&amp;A (cash flow statement)</t>
  </si>
  <si>
    <t>Share-based compensation</t>
  </si>
  <si>
    <t>Capital Expenditures</t>
  </si>
  <si>
    <t>Balance Sheet Items</t>
  </si>
  <si>
    <t xml:space="preserve">Cash and cash equivalents </t>
  </si>
  <si>
    <t>Total cash investments</t>
  </si>
  <si>
    <t>Current maturities of long-term debt</t>
  </si>
  <si>
    <t>Long-term debt</t>
  </si>
  <si>
    <t>Total debt</t>
  </si>
  <si>
    <t>Diluted shares, as converted Class A</t>
  </si>
  <si>
    <t>mm shares</t>
  </si>
  <si>
    <t>Investment securities, current</t>
  </si>
  <si>
    <t>Investment securities, non-current</t>
  </si>
  <si>
    <t>Operating Drivers</t>
  </si>
  <si>
    <t>Revenue growth %</t>
  </si>
  <si>
    <t>Operating margin %</t>
  </si>
  <si>
    <t>Operating margin % (reported)</t>
  </si>
  <si>
    <t>D&amp;A of revenue</t>
  </si>
  <si>
    <t xml:space="preserve">Capex % of revenue </t>
  </si>
  <si>
    <t>Tax rate %</t>
  </si>
  <si>
    <t>Change in NWC % of change in revenue</t>
  </si>
  <si>
    <t>%</t>
  </si>
  <si>
    <t>Operating margin % (excel. litigation)</t>
  </si>
  <si>
    <t>Share-based comp % of revenue</t>
  </si>
  <si>
    <t>FY2026 growth check</t>
  </si>
  <si>
    <t xml:space="preserve">9M FY2026 net revenue  </t>
  </si>
  <si>
    <t xml:space="preserve">9M FY2025 net revenue  </t>
  </si>
  <si>
    <t>9M growth %</t>
  </si>
  <si>
    <t>FY2026: consensus (10.8), slowing down from 15% as competition gets harder</t>
  </si>
  <si>
    <t>Q4 FY2026 growth assumption</t>
  </si>
  <si>
    <t>FY2026E Revenue</t>
  </si>
  <si>
    <t>FY2026E growth %</t>
  </si>
  <si>
    <t>Litigation provision % of revenue</t>
  </si>
  <si>
    <t>Operating Build</t>
  </si>
  <si>
    <t>Net revenue</t>
  </si>
  <si>
    <t xml:space="preserve">Free Cash Flow Build </t>
  </si>
  <si>
    <t>EBIT</t>
  </si>
  <si>
    <t>Less: taxes on EBIT</t>
  </si>
  <si>
    <t>NOPAT</t>
  </si>
  <si>
    <t>Plus: D&amp;A</t>
  </si>
  <si>
    <t>Less: capex</t>
  </si>
  <si>
    <t>Less: increase in NWC</t>
  </si>
  <si>
    <t>Unlevered free cash flow</t>
  </si>
  <si>
    <t>FCF margin %</t>
  </si>
  <si>
    <t>Operating income (EBIT)</t>
  </si>
  <si>
    <t>Cost of Equity</t>
  </si>
  <si>
    <t>Unit</t>
  </si>
  <si>
    <t>Risk-free rate (10-year Treasury)</t>
  </si>
  <si>
    <t>Equity risk premium</t>
  </si>
  <si>
    <t>Beta</t>
  </si>
  <si>
    <t>Cost of equity</t>
  </si>
  <si>
    <t>Cost of Debt</t>
  </si>
  <si>
    <t>Pre-tax cost of debt</t>
  </si>
  <si>
    <t>Tax rate</t>
  </si>
  <si>
    <t>After-tax cost of debt</t>
  </si>
  <si>
    <t>Capital Structure</t>
  </si>
  <si>
    <t>Share price</t>
  </si>
  <si>
    <t>Diluted shares</t>
  </si>
  <si>
    <t>Market capitalization</t>
  </si>
  <si>
    <t>Equity weight</t>
  </si>
  <si>
    <t>Debt weight</t>
  </si>
  <si>
    <t>WACC</t>
  </si>
  <si>
    <t>x</t>
  </si>
  <si>
    <t>$</t>
  </si>
  <si>
    <t>mm</t>
  </si>
  <si>
    <t xml:space="preserve">Total capitalization </t>
  </si>
  <si>
    <t>Credit spread</t>
  </si>
  <si>
    <t>^TNX, 10/2/2026</t>
  </si>
  <si>
    <t>Inputs</t>
  </si>
  <si>
    <t>Terminal growth rate</t>
  </si>
  <si>
    <t>Valuation date</t>
  </si>
  <si>
    <t>Check: growth below WACC</t>
  </si>
  <si>
    <t>Discounting, mid year</t>
  </si>
  <si>
    <t xml:space="preserve">Discount period </t>
  </si>
  <si>
    <t>Discount factor</t>
  </si>
  <si>
    <t>Present value of FCF</t>
  </si>
  <si>
    <t>Sum of PV of FCF</t>
  </si>
  <si>
    <t>years</t>
  </si>
  <si>
    <t>Terminal Value</t>
  </si>
  <si>
    <t>Final-year FCF</t>
  </si>
  <si>
    <t>Terminal value at FY2030</t>
  </si>
  <si>
    <t>Discount factor for TV</t>
  </si>
  <si>
    <t>TV as % of EV</t>
  </si>
  <si>
    <t xml:space="preserve">Equity bridge </t>
  </si>
  <si>
    <t>Enterprise value</t>
  </si>
  <si>
    <t>Less: total debt</t>
  </si>
  <si>
    <t>Plus: cash and investments</t>
  </si>
  <si>
    <t>Equity Value</t>
  </si>
  <si>
    <t>Implied share price</t>
  </si>
  <si>
    <t>Current share price</t>
  </si>
  <si>
    <t>Upside / (downside)</t>
  </si>
  <si>
    <t>PV of terminal value</t>
  </si>
  <si>
    <t>Exit multiple cross-check</t>
  </si>
  <si>
    <t>FY2030E EBITDA</t>
  </si>
  <si>
    <t>Implied exit multiple (perpetuity method)</t>
  </si>
  <si>
    <t>Exit multiple (EV / EBITDA)</t>
  </si>
  <si>
    <t>Terminal value (exit multiple)</t>
  </si>
  <si>
    <t>Discount factor (end of FY2030)</t>
  </si>
  <si>
    <t>Implied perpetuity growth rate</t>
  </si>
  <si>
    <t>Sensitivity 1: Implied share prices, perpetuity method</t>
  </si>
  <si>
    <t>WACC \ G</t>
  </si>
  <si>
    <t>Sensitivity 2: Implied share price, exit multiple method</t>
  </si>
  <si>
    <t>WACC \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</si>
</sst>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0.0&quot;x&quot;"/>
    <numFmt numFmtId="167" formatCode="&quot;$&quot;#,##0.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4" fontId="0" fillId="0" borderId="0" xfId="0" applyNumberFormat="1"/>
    <xf numFmtId="4" fontId="7" fillId="0" borderId="0" xfId="0" applyNumberFormat="1" applyFont="1"/>
    <xf numFmtId="14" fontId="2" fillId="0" borderId="0" xfId="0" applyNumberFormat="1" applyFont="1"/>
    <xf numFmtId="10" fontId="0" fillId="0" borderId="0" xfId="2" applyNumberFormat="1" applyFont="1"/>
    <xf numFmtId="43" fontId="7" fillId="0" borderId="0" xfId="1" applyFont="1"/>
    <xf numFmtId="0" fontId="1" fillId="0" borderId="0" xfId="1" applyNumberFormat="1" applyFont="1"/>
    <xf numFmtId="43" fontId="0" fillId="0" borderId="0" xfId="0" applyNumberFormat="1"/>
    <xf numFmtId="10" fontId="0" fillId="0" borderId="0" xfId="0" applyNumberFormat="1"/>
    <xf numFmtId="10" fontId="8" fillId="0" borderId="0" xfId="2" applyNumberFormat="1" applyFont="1"/>
    <xf numFmtId="10" fontId="7" fillId="0" borderId="0" xfId="0" applyNumberFormat="1" applyFont="1"/>
    <xf numFmtId="10" fontId="7" fillId="0" borderId="0" xfId="2" applyNumberFormat="1" applyFont="1"/>
    <xf numFmtId="4" fontId="8" fillId="0" borderId="0" xfId="0" applyNumberFormat="1" applyFont="1"/>
    <xf numFmtId="10" fontId="8" fillId="0" borderId="0" xfId="0" applyNumberFormat="1" applyFont="1"/>
    <xf numFmtId="9" fontId="0" fillId="0" borderId="0" xfId="2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0" fontId="9" fillId="0" borderId="0" xfId="2" applyNumberFormat="1" applyFont="1"/>
    <xf numFmtId="43" fontId="0" fillId="0" borderId="0" xfId="1" applyFont="1"/>
    <xf numFmtId="165" fontId="0" fillId="0" borderId="0" xfId="1" applyNumberFormat="1" applyFont="1"/>
    <xf numFmtId="14" fontId="9" fillId="0" borderId="0" xfId="0" applyNumberFormat="1" applyFont="1"/>
    <xf numFmtId="0" fontId="9" fillId="0" borderId="0" xfId="0" applyFont="1"/>
    <xf numFmtId="0" fontId="6" fillId="0" borderId="0" xfId="0" applyFont="1"/>
    <xf numFmtId="3" fontId="0" fillId="0" borderId="0" xfId="0" applyNumberFormat="1"/>
    <xf numFmtId="166" fontId="0" fillId="0" borderId="0" xfId="0" applyNumberFormat="1"/>
    <xf numFmtId="166" fontId="9" fillId="0" borderId="0" xfId="0" applyNumberFormat="1" applyFont="1"/>
    <xf numFmtId="3" fontId="8" fillId="0" borderId="0" xfId="0" applyNumberFormat="1" applyFont="1"/>
    <xf numFmtId="1" fontId="8" fillId="0" borderId="0" xfId="0" applyNumberFormat="1" applyFont="1"/>
    <xf numFmtId="167" fontId="0" fillId="0" borderId="0" xfId="0" applyNumberFormat="1"/>
    <xf numFmtId="166" fontId="8" fillId="0" borderId="0" xfId="0" applyNumberFormat="1" applyFont="1"/>
    <xf numFmtId="167" fontId="0" fillId="2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32DF-2A8D-6946-BD76-FED9AC89D9E3}">
  <dimension ref="A1:N24"/>
  <sheetViews>
    <sheetView workbookViewId="0">
      <selection activeCell="N9" sqref="N9"/>
    </sheetView>
  </sheetViews>
  <sheetFormatPr baseColWidth="10" defaultRowHeight="16" x14ac:dyDescent="0.2"/>
  <cols>
    <col min="1" max="1" width="35.83203125" customWidth="1"/>
  </cols>
  <sheetData>
    <row r="1" spans="1:14" ht="19" x14ac:dyDescent="0.25">
      <c r="A1" s="2" t="s">
        <v>0</v>
      </c>
    </row>
    <row r="2" spans="1:14" x14ac:dyDescent="0.2">
      <c r="A2" t="s">
        <v>1</v>
      </c>
    </row>
    <row r="3" spans="1:14" x14ac:dyDescent="0.2">
      <c r="A3" t="s">
        <v>15</v>
      </c>
    </row>
    <row r="4" spans="1:14" x14ac:dyDescent="0.2">
      <c r="A4" t="s">
        <v>2</v>
      </c>
    </row>
    <row r="6" spans="1:14" x14ac:dyDescent="0.2">
      <c r="A6" s="3" t="s">
        <v>5</v>
      </c>
      <c r="B6" s="3" t="s">
        <v>3</v>
      </c>
      <c r="C6" s="3" t="str">
        <f>"FY"&amp;(2021+COLUMN()-3)&amp;"A"</f>
        <v>FY2021A</v>
      </c>
      <c r="D6" s="3" t="str">
        <f t="shared" ref="D6:G6" si="0">"FY"&amp;(2021+COLUMN()-3)&amp;"A"</f>
        <v>FY2022A</v>
      </c>
      <c r="E6" s="3" t="str">
        <f t="shared" si="0"/>
        <v>FY2023A</v>
      </c>
      <c r="F6" s="3" t="str">
        <f t="shared" si="0"/>
        <v>FY2024A</v>
      </c>
      <c r="G6" s="3" t="str">
        <f t="shared" si="0"/>
        <v>FY2025A</v>
      </c>
      <c r="H6" s="3" t="str">
        <f>"FY"&amp;(2026+COLUMN()-8)&amp;"E"</f>
        <v>FY2026E</v>
      </c>
      <c r="I6" s="3" t="str">
        <f t="shared" ref="I6:L6" si="1">"FY"&amp;(2026+COLUMN()-8)&amp;"E"</f>
        <v>FY2027E</v>
      </c>
      <c r="J6" s="3" t="str">
        <f t="shared" si="1"/>
        <v>FY2028E</v>
      </c>
      <c r="K6" s="3" t="str">
        <f t="shared" si="1"/>
        <v>FY2029E</v>
      </c>
      <c r="L6" s="3" t="str">
        <f t="shared" si="1"/>
        <v>FY2030E</v>
      </c>
    </row>
    <row r="7" spans="1:14" x14ac:dyDescent="0.2">
      <c r="A7" s="1" t="s">
        <v>43</v>
      </c>
    </row>
    <row r="8" spans="1:14" x14ac:dyDescent="0.2">
      <c r="A8" t="s">
        <v>44</v>
      </c>
      <c r="B8" t="s">
        <v>51</v>
      </c>
      <c r="C8" s="15"/>
      <c r="D8" s="15">
        <f>Historicals!D8/Historicals!C8-1</f>
        <v>0.21593030491599263</v>
      </c>
      <c r="E8" s="15">
        <f>Historicals!E8/Historicals!D8-1</f>
        <v>0.11405663596042315</v>
      </c>
      <c r="F8" s="15">
        <f>Historicals!F8/Historicals!E8-1</f>
        <v>0.10023581294214923</v>
      </c>
      <c r="G8" s="15">
        <f>Historicals!G8/Historicals!F8-1</f>
        <v>0.11339976618604908</v>
      </c>
      <c r="H8" s="14">
        <f>C24</f>
        <v>0.14437200000000017</v>
      </c>
      <c r="I8" s="17">
        <v>0.11</v>
      </c>
      <c r="J8" s="16">
        <v>0.105</v>
      </c>
      <c r="K8" s="14">
        <f>AVERAGE(J8,L8)</f>
        <v>9.2499999999999999E-2</v>
      </c>
      <c r="L8" s="16">
        <v>0.08</v>
      </c>
      <c r="N8" t="s">
        <v>58</v>
      </c>
    </row>
    <row r="9" spans="1:14" x14ac:dyDescent="0.2">
      <c r="A9" t="s">
        <v>46</v>
      </c>
      <c r="B9" t="s">
        <v>51</v>
      </c>
      <c r="C9" s="15">
        <f>Historicals!C16/Historicals!C8</f>
        <v>0.65563161169881767</v>
      </c>
      <c r="D9" s="15">
        <f>Historicals!D16/Historicals!D8</f>
        <v>0.64186284544524053</v>
      </c>
      <c r="E9" s="15">
        <f>Historicals!E16/Historicals!E8</f>
        <v>0.64312620586163594</v>
      </c>
      <c r="F9" s="15">
        <f>Historicals!F16/Historicals!F8</f>
        <v>0.65676668707899566</v>
      </c>
      <c r="G9" s="15">
        <f>Historicals!G16/Historicals!G8</f>
        <v>0.59984999999999999</v>
      </c>
      <c r="H9" s="14">
        <f>H10-H16</f>
        <v>0.63127158460445787</v>
      </c>
      <c r="I9" s="14">
        <f t="shared" ref="I9:L9" si="2">I10-I16</f>
        <v>0.63127158460445787</v>
      </c>
      <c r="J9" s="14">
        <f t="shared" si="2"/>
        <v>0.63127158460445787</v>
      </c>
      <c r="K9" s="14">
        <f t="shared" si="2"/>
        <v>0.63127158460445787</v>
      </c>
      <c r="L9" s="14">
        <f t="shared" si="2"/>
        <v>0.63127158460445787</v>
      </c>
    </row>
    <row r="10" spans="1:14" x14ac:dyDescent="0.2">
      <c r="A10" t="s">
        <v>52</v>
      </c>
      <c r="B10" t="s">
        <v>51</v>
      </c>
      <c r="C10" s="15">
        <f>(Historicals!C16+Historicals!C15)/Historicals!C8</f>
        <v>0.6557560672059739</v>
      </c>
      <c r="D10" s="15">
        <f>(Historicals!D16+Historicals!D15)/Historicals!D8</f>
        <v>0.67147731149778234</v>
      </c>
      <c r="E10" s="15">
        <f>(Historicals!E16+Historicals!E15)/Historicals!E8</f>
        <v>0.67151563409181392</v>
      </c>
      <c r="F10" s="15">
        <f>(Historicals!F16+Historicals!F15)/Historicals!F8</f>
        <v>0.66962645437844459</v>
      </c>
      <c r="G10" s="15">
        <f>(Historicals!G16+Historicals!G15)/Historicals!G8</f>
        <v>0.66390000000000005</v>
      </c>
      <c r="H10" s="16">
        <v>0.66500000000000004</v>
      </c>
      <c r="I10" s="14">
        <v>0.66500000000000004</v>
      </c>
      <c r="J10" s="14">
        <v>0.66500000000000004</v>
      </c>
      <c r="K10" s="14">
        <v>0.66500000000000004</v>
      </c>
      <c r="L10" s="14">
        <v>0.66500000000000004</v>
      </c>
    </row>
    <row r="11" spans="1:14" x14ac:dyDescent="0.2">
      <c r="A11" t="s">
        <v>47</v>
      </c>
      <c r="B11" t="s">
        <v>51</v>
      </c>
      <c r="C11" s="15">
        <f>Historicals!C22/Historicals!C8</f>
        <v>3.3354075917859362E-2</v>
      </c>
      <c r="D11" s="15">
        <f>Historicals!D22/Historicals!D8</f>
        <v>2.9375639713408393E-2</v>
      </c>
      <c r="E11" s="15">
        <f>Historicals!E22/Historicals!E8</f>
        <v>2.8879429148929655E-2</v>
      </c>
      <c r="F11" s="15">
        <f>Historicals!F22/Historicals!F8</f>
        <v>2.878138395590937E-2</v>
      </c>
      <c r="G11" s="15">
        <f>Historicals!G22/Historicals!G8</f>
        <v>3.0499999999999999E-2</v>
      </c>
      <c r="H11" s="14">
        <f>AVERAGE(E11:G11)</f>
        <v>2.9386937701613009E-2</v>
      </c>
      <c r="I11" s="14">
        <f>H11</f>
        <v>2.9386937701613009E-2</v>
      </c>
      <c r="J11" s="14">
        <f t="shared" ref="J11:L11" si="3">I11</f>
        <v>2.9386937701613009E-2</v>
      </c>
      <c r="K11" s="14">
        <f t="shared" si="3"/>
        <v>2.9386937701613009E-2</v>
      </c>
      <c r="L11" s="14">
        <f t="shared" si="3"/>
        <v>2.9386937701613009E-2</v>
      </c>
    </row>
    <row r="12" spans="1:14" x14ac:dyDescent="0.2">
      <c r="A12" t="s">
        <v>48</v>
      </c>
      <c r="B12" t="s">
        <v>51</v>
      </c>
      <c r="C12" s="15">
        <f>Historicals!C24/Historicals!C8</f>
        <v>2.924704418170504E-2</v>
      </c>
      <c r="D12" s="15">
        <f>Historicals!D24/Historicals!D8</f>
        <v>3.3094506994199933E-2</v>
      </c>
      <c r="E12" s="15">
        <f>Historicals!E24/Historicals!E8</f>
        <v>3.2431935809879645E-2</v>
      </c>
      <c r="F12" s="15">
        <f>Historicals!F24/Historicals!F8</f>
        <v>3.498858765239659E-2</v>
      </c>
      <c r="G12" s="15">
        <f>Historicals!G24/Historicals!G8</f>
        <v>3.705E-2</v>
      </c>
      <c r="H12" s="14">
        <f>G12</f>
        <v>3.705E-2</v>
      </c>
      <c r="I12" s="14">
        <f t="shared" ref="I12:L12" si="4">H12</f>
        <v>3.705E-2</v>
      </c>
      <c r="J12" s="14">
        <f t="shared" si="4"/>
        <v>3.705E-2</v>
      </c>
      <c r="K12" s="14">
        <f t="shared" si="4"/>
        <v>3.705E-2</v>
      </c>
      <c r="L12" s="14">
        <f t="shared" si="4"/>
        <v>3.705E-2</v>
      </c>
    </row>
    <row r="13" spans="1:14" x14ac:dyDescent="0.2">
      <c r="A13" t="s">
        <v>53</v>
      </c>
      <c r="B13" t="s">
        <v>51</v>
      </c>
      <c r="C13" s="15">
        <f>Historicals!C23/Historicals!C8</f>
        <v>2.2484961626218627E-2</v>
      </c>
      <c r="D13" s="15">
        <f>Historicals!D23/Historicals!D8</f>
        <v>2.0539065165472534E-2</v>
      </c>
      <c r="E13" s="15">
        <f>Historicals!E23/Historicals!E8</f>
        <v>2.3428168927816739E-2</v>
      </c>
      <c r="F13" s="15">
        <f>Historicals!F23/Historicals!F8</f>
        <v>2.3659745031453544E-2</v>
      </c>
      <c r="G13" s="15">
        <f>Historicals!G23/Historicals!G8</f>
        <v>2.2425E-2</v>
      </c>
      <c r="H13" s="14"/>
      <c r="I13" s="14"/>
      <c r="J13" s="14"/>
      <c r="K13" s="14"/>
      <c r="L13" s="14"/>
    </row>
    <row r="14" spans="1:14" x14ac:dyDescent="0.2">
      <c r="A14" t="s">
        <v>49</v>
      </c>
      <c r="B14" t="s">
        <v>51</v>
      </c>
      <c r="H14" s="17">
        <v>0.17499999999999999</v>
      </c>
      <c r="I14" s="10">
        <f>H14</f>
        <v>0.17499999999999999</v>
      </c>
      <c r="J14" s="10">
        <f t="shared" ref="J14:L14" si="5">I14</f>
        <v>0.17499999999999999</v>
      </c>
      <c r="K14" s="10">
        <f t="shared" si="5"/>
        <v>0.17499999999999999</v>
      </c>
      <c r="L14" s="10">
        <f t="shared" si="5"/>
        <v>0.17499999999999999</v>
      </c>
    </row>
    <row r="15" spans="1:14" x14ac:dyDescent="0.2">
      <c r="A15" t="s">
        <v>50</v>
      </c>
      <c r="B15" t="s">
        <v>51</v>
      </c>
      <c r="H15" s="17">
        <v>0</v>
      </c>
      <c r="I15" s="14">
        <f>H15</f>
        <v>0</v>
      </c>
      <c r="J15" s="14">
        <f t="shared" ref="J15:L15" si="6">I15</f>
        <v>0</v>
      </c>
      <c r="K15" s="14">
        <f t="shared" si="6"/>
        <v>0</v>
      </c>
      <c r="L15" s="14">
        <f t="shared" si="6"/>
        <v>0</v>
      </c>
    </row>
    <row r="16" spans="1:14" x14ac:dyDescent="0.2">
      <c r="A16" t="s">
        <v>62</v>
      </c>
      <c r="C16" s="15">
        <f>Historicals!C15/Historicals!C8</f>
        <v>1.2445550715619165E-4</v>
      </c>
      <c r="D16" s="15">
        <f>Historicals!D15/Historicals!D8</f>
        <v>2.9614466052541796E-2</v>
      </c>
      <c r="E16" s="15">
        <f>Historicals!E15/Historicals!E8</f>
        <v>2.838942823017793E-2</v>
      </c>
      <c r="F16" s="15">
        <f>Historicals!F15/Historicals!F8</f>
        <v>1.2859767299448868E-2</v>
      </c>
      <c r="G16" s="15">
        <f>Historicals!G15/Historicals!G8</f>
        <v>6.4049999999999996E-2</v>
      </c>
      <c r="H16" s="14">
        <f>AVERAGE(D16:G16)</f>
        <v>3.3728415395542145E-2</v>
      </c>
      <c r="I16" s="14">
        <f>H16</f>
        <v>3.3728415395542145E-2</v>
      </c>
      <c r="J16" s="14">
        <f t="shared" ref="J16:L16" si="7">I16</f>
        <v>3.3728415395542145E-2</v>
      </c>
      <c r="K16" s="14">
        <f t="shared" si="7"/>
        <v>3.3728415395542145E-2</v>
      </c>
      <c r="L16" s="14">
        <f t="shared" si="7"/>
        <v>3.3728415395542145E-2</v>
      </c>
    </row>
    <row r="18" spans="1:3" x14ac:dyDescent="0.2">
      <c r="A18" s="1" t="s">
        <v>54</v>
      </c>
    </row>
    <row r="19" spans="1:3" x14ac:dyDescent="0.2">
      <c r="A19" t="s">
        <v>55</v>
      </c>
      <c r="B19" s="12" t="s">
        <v>25</v>
      </c>
      <c r="C19" s="11">
        <v>33764</v>
      </c>
    </row>
    <row r="20" spans="1:3" x14ac:dyDescent="0.2">
      <c r="A20" t="s">
        <v>56</v>
      </c>
      <c r="B20" s="12" t="s">
        <v>25</v>
      </c>
      <c r="C20" s="11">
        <v>29276</v>
      </c>
    </row>
    <row r="21" spans="1:3" x14ac:dyDescent="0.2">
      <c r="A21" t="s">
        <v>57</v>
      </c>
      <c r="B21" t="s">
        <v>51</v>
      </c>
      <c r="C21" s="10">
        <f>C19/C20-1</f>
        <v>0.1532996310971444</v>
      </c>
    </row>
    <row r="22" spans="1:3" x14ac:dyDescent="0.2">
      <c r="A22" t="s">
        <v>59</v>
      </c>
      <c r="C22" s="16">
        <v>0.12</v>
      </c>
    </row>
    <row r="23" spans="1:3" x14ac:dyDescent="0.2">
      <c r="A23" t="s">
        <v>60</v>
      </c>
      <c r="C23" s="13">
        <f>C19+(Historicals!G8-C20)*(1+C22)</f>
        <v>45774.880000000005</v>
      </c>
    </row>
    <row r="24" spans="1:3" x14ac:dyDescent="0.2">
      <c r="A24" t="s">
        <v>61</v>
      </c>
      <c r="C24" s="10">
        <f>C23/Historicals!G8-1</f>
        <v>0.14437200000000017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BB58-3D85-4044-B4CA-1895D6BF2EDB}">
  <dimension ref="A1:L37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7" sqref="C37"/>
    </sheetView>
  </sheetViews>
  <sheetFormatPr baseColWidth="10" defaultRowHeight="16" x14ac:dyDescent="0.2"/>
  <cols>
    <col min="1" max="1" width="35.83203125" customWidth="1"/>
    <col min="3" max="3" width="11.5" bestFit="1" customWidth="1"/>
  </cols>
  <sheetData>
    <row r="1" spans="1:12" ht="19" x14ac:dyDescent="0.25">
      <c r="A1" s="2" t="s">
        <v>0</v>
      </c>
    </row>
    <row r="2" spans="1:12" x14ac:dyDescent="0.2">
      <c r="A2" t="s">
        <v>1</v>
      </c>
    </row>
    <row r="3" spans="1:12" x14ac:dyDescent="0.2">
      <c r="A3" t="s">
        <v>15</v>
      </c>
    </row>
    <row r="4" spans="1:12" x14ac:dyDescent="0.2">
      <c r="A4" t="s">
        <v>2</v>
      </c>
    </row>
    <row r="6" spans="1:12" s="1" customFormat="1" x14ac:dyDescent="0.2">
      <c r="A6" s="3" t="s">
        <v>5</v>
      </c>
      <c r="B6" s="3" t="s">
        <v>3</v>
      </c>
      <c r="C6" s="3" t="str">
        <f>"FY"&amp;(2021+COLUMN()-3)&amp;"A"</f>
        <v>FY2021A</v>
      </c>
      <c r="D6" s="3" t="str">
        <f t="shared" ref="D6:G6" si="0">"FY"&amp;(2021+COLUMN()-3)&amp;"A"</f>
        <v>FY2022A</v>
      </c>
      <c r="E6" s="3" t="str">
        <f t="shared" si="0"/>
        <v>FY2023A</v>
      </c>
      <c r="F6" s="3" t="str">
        <f t="shared" si="0"/>
        <v>FY2024A</v>
      </c>
      <c r="G6" s="3" t="str">
        <f t="shared" si="0"/>
        <v>FY2025A</v>
      </c>
      <c r="H6" s="3" t="str">
        <f>"FY"&amp;(2026+COLUMN()-8)&amp;"E"</f>
        <v>FY2026E</v>
      </c>
      <c r="I6" s="3" t="str">
        <f t="shared" ref="I6:L6" si="1">"FY"&amp;(2026+COLUMN()-8)&amp;"E"</f>
        <v>FY2027E</v>
      </c>
      <c r="J6" s="3" t="str">
        <f t="shared" si="1"/>
        <v>FY2028E</v>
      </c>
      <c r="K6" s="3" t="str">
        <f t="shared" si="1"/>
        <v>FY2029E</v>
      </c>
      <c r="L6" s="3" t="str">
        <f t="shared" si="1"/>
        <v>FY2030E</v>
      </c>
    </row>
    <row r="7" spans="1:12" x14ac:dyDescent="0.2">
      <c r="B7" s="7"/>
      <c r="C7" s="7"/>
      <c r="D7" s="7"/>
      <c r="E7" s="7"/>
      <c r="F7" s="7"/>
      <c r="G7" s="7"/>
      <c r="H7" s="7"/>
      <c r="I7" s="7"/>
    </row>
    <row r="8" spans="1:12" x14ac:dyDescent="0.2">
      <c r="A8" t="s">
        <v>16</v>
      </c>
      <c r="B8" s="7" t="s">
        <v>25</v>
      </c>
      <c r="C8" s="8">
        <v>24105</v>
      </c>
      <c r="D8" s="8">
        <v>29310</v>
      </c>
      <c r="E8" s="8">
        <v>32653</v>
      </c>
      <c r="F8" s="8">
        <v>35926</v>
      </c>
      <c r="G8" s="8">
        <v>40000</v>
      </c>
      <c r="H8" s="7"/>
      <c r="I8" s="7"/>
    </row>
    <row r="9" spans="1:12" x14ac:dyDescent="0.2">
      <c r="A9" t="s">
        <v>17</v>
      </c>
      <c r="B9" s="7" t="s">
        <v>25</v>
      </c>
      <c r="C9" s="8">
        <v>4240</v>
      </c>
      <c r="D9" s="8">
        <v>4990</v>
      </c>
      <c r="E9" s="8">
        <v>5831</v>
      </c>
      <c r="F9" s="8">
        <v>6264</v>
      </c>
      <c r="G9" s="8">
        <v>6961</v>
      </c>
      <c r="H9" s="7"/>
      <c r="I9" s="7"/>
    </row>
    <row r="10" spans="1:12" x14ac:dyDescent="0.2">
      <c r="A10" t="s">
        <v>18</v>
      </c>
      <c r="B10" s="7" t="s">
        <v>25</v>
      </c>
      <c r="C10" s="8">
        <v>1136</v>
      </c>
      <c r="D10" s="8">
        <v>1336</v>
      </c>
      <c r="E10" s="8">
        <v>1341</v>
      </c>
      <c r="F10" s="8">
        <v>1560</v>
      </c>
      <c r="G10" s="8">
        <v>1684</v>
      </c>
      <c r="H10" s="7"/>
      <c r="I10" s="7"/>
    </row>
    <row r="11" spans="1:12" x14ac:dyDescent="0.2">
      <c r="A11" t="s">
        <v>24</v>
      </c>
      <c r="B11" s="7" t="s">
        <v>25</v>
      </c>
      <c r="C11" s="8">
        <v>730</v>
      </c>
      <c r="D11" s="8">
        <v>743</v>
      </c>
      <c r="E11" s="8">
        <v>736</v>
      </c>
      <c r="F11" s="8">
        <v>778</v>
      </c>
      <c r="G11" s="8">
        <v>894</v>
      </c>
      <c r="H11" s="7"/>
      <c r="I11" s="7"/>
    </row>
    <row r="12" spans="1:12" x14ac:dyDescent="0.2">
      <c r="A12" t="s">
        <v>19</v>
      </c>
      <c r="B12" s="7" t="s">
        <v>25</v>
      </c>
      <c r="C12" s="8">
        <v>403</v>
      </c>
      <c r="D12" s="8">
        <v>505</v>
      </c>
      <c r="E12" s="8">
        <v>545</v>
      </c>
      <c r="F12" s="8">
        <v>635</v>
      </c>
      <c r="G12" s="8">
        <v>759</v>
      </c>
      <c r="H12" s="7"/>
      <c r="I12" s="7"/>
    </row>
    <row r="13" spans="1:12" x14ac:dyDescent="0.2">
      <c r="A13" t="s">
        <v>20</v>
      </c>
      <c r="B13" s="7" t="s">
        <v>25</v>
      </c>
      <c r="C13" s="8">
        <v>804</v>
      </c>
      <c r="D13" s="8">
        <v>861</v>
      </c>
      <c r="E13" s="8">
        <v>943</v>
      </c>
      <c r="F13" s="8">
        <v>1034</v>
      </c>
      <c r="G13" s="8">
        <v>1220</v>
      </c>
      <c r="H13" s="7"/>
      <c r="I13" s="7"/>
    </row>
    <row r="14" spans="1:12" x14ac:dyDescent="0.2">
      <c r="A14" t="s">
        <v>21</v>
      </c>
      <c r="B14" s="7" t="s">
        <v>25</v>
      </c>
      <c r="C14" s="8">
        <v>985</v>
      </c>
      <c r="D14" s="8">
        <v>1194</v>
      </c>
      <c r="E14" s="8">
        <v>1330</v>
      </c>
      <c r="F14" s="8">
        <v>1598</v>
      </c>
      <c r="G14" s="8">
        <v>1926</v>
      </c>
      <c r="H14" s="7"/>
      <c r="I14" s="7"/>
    </row>
    <row r="15" spans="1:12" x14ac:dyDescent="0.2">
      <c r="A15" t="s">
        <v>27</v>
      </c>
      <c r="B15" s="7" t="s">
        <v>25</v>
      </c>
      <c r="C15" s="8">
        <v>3</v>
      </c>
      <c r="D15" s="8">
        <v>868</v>
      </c>
      <c r="E15" s="8">
        <v>927</v>
      </c>
      <c r="F15" s="8">
        <v>462</v>
      </c>
      <c r="G15" s="8">
        <v>2562</v>
      </c>
      <c r="H15" s="7"/>
      <c r="I15" s="7"/>
    </row>
    <row r="16" spans="1:12" x14ac:dyDescent="0.2">
      <c r="A16" t="s">
        <v>28</v>
      </c>
      <c r="B16" s="7" t="s">
        <v>25</v>
      </c>
      <c r="C16" s="8">
        <v>15804</v>
      </c>
      <c r="D16" s="8">
        <v>18813</v>
      </c>
      <c r="E16" s="8">
        <v>21000</v>
      </c>
      <c r="F16" s="8">
        <v>23595</v>
      </c>
      <c r="G16" s="8">
        <v>23994</v>
      </c>
      <c r="H16" s="7"/>
      <c r="I16" s="7"/>
    </row>
    <row r="17" spans="1:9" x14ac:dyDescent="0.2">
      <c r="A17" t="s">
        <v>22</v>
      </c>
      <c r="B17" s="7" t="s">
        <v>25</v>
      </c>
      <c r="C17" s="7">
        <f>SUM(C9:C15)</f>
        <v>8301</v>
      </c>
      <c r="D17" s="7">
        <f t="shared" ref="D17:G17" si="2">SUM(D9:D15)</f>
        <v>10497</v>
      </c>
      <c r="E17" s="7">
        <f t="shared" si="2"/>
        <v>11653</v>
      </c>
      <c r="F17" s="7">
        <f t="shared" si="2"/>
        <v>12331</v>
      </c>
      <c r="G17" s="7">
        <f t="shared" si="2"/>
        <v>16006</v>
      </c>
      <c r="H17" s="7"/>
      <c r="I17" s="7"/>
    </row>
    <row r="18" spans="1:9" x14ac:dyDescent="0.2">
      <c r="A18" t="s">
        <v>23</v>
      </c>
      <c r="B18" s="7" t="s">
        <v>25</v>
      </c>
      <c r="C18" s="7">
        <f>C8-C17</f>
        <v>15804</v>
      </c>
      <c r="D18" s="7">
        <f t="shared" ref="D18:G18" si="3">D8-D17</f>
        <v>18813</v>
      </c>
      <c r="E18" s="7">
        <f t="shared" si="3"/>
        <v>21000</v>
      </c>
      <c r="F18" s="7">
        <f t="shared" si="3"/>
        <v>23595</v>
      </c>
      <c r="G18" s="7">
        <f t="shared" si="3"/>
        <v>23994</v>
      </c>
      <c r="H18" s="7"/>
      <c r="I18" s="7"/>
    </row>
    <row r="19" spans="1:9" x14ac:dyDescent="0.2">
      <c r="A19" t="s">
        <v>26</v>
      </c>
      <c r="B19" s="7" t="s">
        <v>25</v>
      </c>
      <c r="C19" s="7">
        <f>C18-C16</f>
        <v>0</v>
      </c>
      <c r="D19" s="7">
        <f t="shared" ref="D19:G19" si="4">D18-D16</f>
        <v>0</v>
      </c>
      <c r="E19" s="7">
        <f t="shared" si="4"/>
        <v>0</v>
      </c>
      <c r="F19" s="7">
        <f t="shared" si="4"/>
        <v>0</v>
      </c>
      <c r="G19" s="7">
        <f t="shared" si="4"/>
        <v>0</v>
      </c>
      <c r="H19" s="7"/>
      <c r="I19" s="7"/>
    </row>
    <row r="20" spans="1:9" x14ac:dyDescent="0.2">
      <c r="B20" s="7"/>
      <c r="C20" s="7"/>
      <c r="D20" s="7"/>
      <c r="E20" s="7"/>
      <c r="F20" s="7"/>
      <c r="G20" s="7"/>
      <c r="H20" s="7"/>
      <c r="I20" s="7"/>
    </row>
    <row r="21" spans="1:9" x14ac:dyDescent="0.2">
      <c r="A21" s="1" t="s">
        <v>29</v>
      </c>
      <c r="B21" s="7"/>
      <c r="C21" s="7"/>
      <c r="D21" s="7"/>
      <c r="E21" s="7"/>
      <c r="F21" s="7"/>
      <c r="G21" s="7"/>
      <c r="H21" s="7"/>
      <c r="I21" s="7"/>
    </row>
    <row r="22" spans="1:9" x14ac:dyDescent="0.2">
      <c r="A22" t="s">
        <v>30</v>
      </c>
      <c r="B22" s="7" t="s">
        <v>25</v>
      </c>
      <c r="C22" s="8">
        <v>804</v>
      </c>
      <c r="D22" s="8">
        <v>861</v>
      </c>
      <c r="E22" s="8">
        <v>943</v>
      </c>
      <c r="F22" s="8">
        <v>1034</v>
      </c>
      <c r="G22" s="8">
        <v>1220</v>
      </c>
      <c r="H22" s="7"/>
      <c r="I22" s="7"/>
    </row>
    <row r="23" spans="1:9" x14ac:dyDescent="0.2">
      <c r="A23" t="s">
        <v>31</v>
      </c>
      <c r="B23" s="7" t="s">
        <v>25</v>
      </c>
      <c r="C23" s="8">
        <v>542</v>
      </c>
      <c r="D23" s="8">
        <v>602</v>
      </c>
      <c r="E23" s="8">
        <v>765</v>
      </c>
      <c r="F23" s="8">
        <v>850</v>
      </c>
      <c r="G23" s="8">
        <v>897</v>
      </c>
      <c r="H23" s="7"/>
      <c r="I23" s="7"/>
    </row>
    <row r="24" spans="1:9" x14ac:dyDescent="0.2">
      <c r="A24" t="s">
        <v>32</v>
      </c>
      <c r="B24" s="7" t="s">
        <v>25</v>
      </c>
      <c r="C24" s="8">
        <v>705</v>
      </c>
      <c r="D24" s="8">
        <v>970</v>
      </c>
      <c r="E24" s="8">
        <v>1059</v>
      </c>
      <c r="F24" s="8">
        <v>1257</v>
      </c>
      <c r="G24" s="8">
        <v>1482</v>
      </c>
      <c r="H24" s="7"/>
      <c r="I24" s="7"/>
    </row>
    <row r="27" spans="1:9" x14ac:dyDescent="0.2">
      <c r="A27" s="1" t="s">
        <v>33</v>
      </c>
      <c r="B27" s="7" t="s">
        <v>3</v>
      </c>
      <c r="C27" s="9">
        <v>46203</v>
      </c>
      <c r="D27" s="8"/>
    </row>
    <row r="28" spans="1:9" x14ac:dyDescent="0.2">
      <c r="A28" t="s">
        <v>34</v>
      </c>
      <c r="B28" s="7" t="s">
        <v>25</v>
      </c>
      <c r="C28" s="8">
        <v>12359</v>
      </c>
    </row>
    <row r="29" spans="1:9" x14ac:dyDescent="0.2">
      <c r="A29" t="s">
        <v>41</v>
      </c>
      <c r="B29" s="7" t="s">
        <v>25</v>
      </c>
      <c r="C29" s="8">
        <v>1433</v>
      </c>
    </row>
    <row r="30" spans="1:9" x14ac:dyDescent="0.2">
      <c r="A30" t="s">
        <v>42</v>
      </c>
      <c r="B30" s="7" t="s">
        <v>25</v>
      </c>
      <c r="C30" s="8">
        <v>150</v>
      </c>
    </row>
    <row r="31" spans="1:9" x14ac:dyDescent="0.2">
      <c r="A31" t="s">
        <v>35</v>
      </c>
      <c r="B31" s="7" t="s">
        <v>25</v>
      </c>
      <c r="C31" s="7">
        <f>SUM(C28:C30)</f>
        <v>13942</v>
      </c>
    </row>
    <row r="32" spans="1:9" x14ac:dyDescent="0.2">
      <c r="B32" s="7"/>
      <c r="C32" s="8"/>
    </row>
    <row r="33" spans="1:3" x14ac:dyDescent="0.2">
      <c r="A33" t="s">
        <v>36</v>
      </c>
      <c r="B33" s="7" t="s">
        <v>25</v>
      </c>
      <c r="C33" s="8">
        <v>2996</v>
      </c>
    </row>
    <row r="34" spans="1:3" x14ac:dyDescent="0.2">
      <c r="A34" t="s">
        <v>37</v>
      </c>
      <c r="B34" s="7" t="s">
        <v>25</v>
      </c>
      <c r="C34" s="8">
        <v>20862</v>
      </c>
    </row>
    <row r="35" spans="1:3" x14ac:dyDescent="0.2">
      <c r="A35" t="s">
        <v>38</v>
      </c>
      <c r="B35" s="7" t="s">
        <v>25</v>
      </c>
      <c r="C35" s="7">
        <f>SUM(C33:C34)</f>
        <v>23858</v>
      </c>
    </row>
    <row r="36" spans="1:3" x14ac:dyDescent="0.2">
      <c r="B36" s="7"/>
    </row>
    <row r="37" spans="1:3" x14ac:dyDescent="0.2">
      <c r="A37" t="s">
        <v>39</v>
      </c>
      <c r="B37" s="7" t="s">
        <v>40</v>
      </c>
      <c r="C37" s="8">
        <v>1898</v>
      </c>
    </row>
  </sheetData>
  <pageMargins left="0.7" right="0.7" top="0.75" bottom="0.75" header="0.3" footer="0.3"/>
  <ignoredErrors>
    <ignoredError sqref="C17:G17 C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8E57-3220-284F-A82E-6DD63BAFA0C4}">
  <dimension ref="A1:L21"/>
  <sheetViews>
    <sheetView workbookViewId="0">
      <selection activeCell="L23" sqref="L23"/>
    </sheetView>
  </sheetViews>
  <sheetFormatPr baseColWidth="10" defaultRowHeight="16" x14ac:dyDescent="0.2"/>
  <cols>
    <col min="1" max="1" width="35.83203125" customWidth="1"/>
  </cols>
  <sheetData>
    <row r="1" spans="1:12" ht="19" x14ac:dyDescent="0.25">
      <c r="A1" s="2" t="s">
        <v>0</v>
      </c>
    </row>
    <row r="2" spans="1:12" x14ac:dyDescent="0.2">
      <c r="A2" t="s">
        <v>1</v>
      </c>
    </row>
    <row r="3" spans="1:12" x14ac:dyDescent="0.2">
      <c r="A3" t="s">
        <v>15</v>
      </c>
    </row>
    <row r="4" spans="1:12" x14ac:dyDescent="0.2">
      <c r="A4" t="s">
        <v>2</v>
      </c>
    </row>
    <row r="6" spans="1:12" x14ac:dyDescent="0.2">
      <c r="A6" s="3" t="s">
        <v>5</v>
      </c>
      <c r="B6" s="3" t="s">
        <v>3</v>
      </c>
      <c r="C6" s="3" t="str">
        <f>"FY"&amp;(2021+COLUMN()-3)&amp;"A"</f>
        <v>FY2021A</v>
      </c>
      <c r="D6" s="3" t="str">
        <f t="shared" ref="D6:G6" si="0">"FY"&amp;(2021+COLUMN()-3)&amp;"A"</f>
        <v>FY2022A</v>
      </c>
      <c r="E6" s="3" t="str">
        <f t="shared" si="0"/>
        <v>FY2023A</v>
      </c>
      <c r="F6" s="3" t="str">
        <f t="shared" si="0"/>
        <v>FY2024A</v>
      </c>
      <c r="G6" s="3" t="str">
        <f t="shared" si="0"/>
        <v>FY2025A</v>
      </c>
      <c r="H6" s="3" t="str">
        <f>"FY"&amp;(2026+COLUMN()-8)&amp;"E"</f>
        <v>FY2026E</v>
      </c>
      <c r="I6" s="3" t="str">
        <f t="shared" ref="I6:L6" si="1">"FY"&amp;(2026+COLUMN()-8)&amp;"E"</f>
        <v>FY2027E</v>
      </c>
      <c r="J6" s="3" t="str">
        <f t="shared" si="1"/>
        <v>FY2028E</v>
      </c>
      <c r="K6" s="3" t="str">
        <f t="shared" si="1"/>
        <v>FY2029E</v>
      </c>
      <c r="L6" s="3" t="str">
        <f t="shared" si="1"/>
        <v>FY2030E</v>
      </c>
    </row>
    <row r="7" spans="1:12" x14ac:dyDescent="0.2">
      <c r="A7" s="1" t="s">
        <v>63</v>
      </c>
    </row>
    <row r="8" spans="1:12" x14ac:dyDescent="0.2">
      <c r="A8" t="s">
        <v>64</v>
      </c>
      <c r="B8" t="s">
        <v>25</v>
      </c>
      <c r="C8" s="18">
        <f>Historicals!C8</f>
        <v>24105</v>
      </c>
      <c r="D8" s="18">
        <f>Historicals!D8</f>
        <v>29310</v>
      </c>
      <c r="E8" s="18">
        <f>Historicals!E8</f>
        <v>32653</v>
      </c>
      <c r="F8" s="18">
        <f>Historicals!F8</f>
        <v>35926</v>
      </c>
      <c r="G8" s="18">
        <f>Historicals!G8</f>
        <v>40000</v>
      </c>
      <c r="H8">
        <f>G8*(1+Assumptions!H8)</f>
        <v>45774.880000000005</v>
      </c>
      <c r="I8">
        <f>H8*(1+Assumptions!I8)</f>
        <v>50810.116800000011</v>
      </c>
      <c r="J8">
        <f>I8*(1+Assumptions!J8)</f>
        <v>56145.179064000011</v>
      </c>
      <c r="K8">
        <f>J8*(1+Assumptions!K8)</f>
        <v>61338.608127420011</v>
      </c>
      <c r="L8">
        <f>K8*(1+Assumptions!L8)</f>
        <v>66245.696777613615</v>
      </c>
    </row>
    <row r="9" spans="1:12" x14ac:dyDescent="0.2">
      <c r="A9" t="s">
        <v>44</v>
      </c>
      <c r="B9" t="s">
        <v>51</v>
      </c>
      <c r="C9" s="7"/>
      <c r="D9" s="10">
        <f>D8/C8-1</f>
        <v>0.21593030491599263</v>
      </c>
      <c r="E9" s="10">
        <f t="shared" ref="E9:H9" si="2">E8/D8-1</f>
        <v>0.11405663596042315</v>
      </c>
      <c r="F9" s="10">
        <f t="shared" si="2"/>
        <v>0.10023581294214923</v>
      </c>
      <c r="G9" s="10">
        <f t="shared" si="2"/>
        <v>0.11339976618604908</v>
      </c>
      <c r="H9" s="10">
        <f t="shared" si="2"/>
        <v>0.14437200000000017</v>
      </c>
      <c r="I9" s="10">
        <f t="shared" ref="I9" si="3">I8/H8-1</f>
        <v>0.1100000000000001</v>
      </c>
      <c r="J9" s="10">
        <f t="shared" ref="J9" si="4">J8/I8-1</f>
        <v>0.10499999999999998</v>
      </c>
      <c r="K9" s="10">
        <f t="shared" ref="K9" si="5">K8/J8-1</f>
        <v>9.2500000000000027E-2</v>
      </c>
      <c r="L9" s="10">
        <f t="shared" ref="L9" si="6">L8/K8-1</f>
        <v>8.0000000000000071E-2</v>
      </c>
    </row>
    <row r="10" spans="1:12" x14ac:dyDescent="0.2">
      <c r="A10" t="s">
        <v>74</v>
      </c>
      <c r="B10" t="s">
        <v>25</v>
      </c>
      <c r="C10" s="18">
        <f>Historicals!C16</f>
        <v>15804</v>
      </c>
      <c r="D10" s="18">
        <f>Historicals!D16</f>
        <v>18813</v>
      </c>
      <c r="E10" s="18">
        <f>Historicals!E16</f>
        <v>21000</v>
      </c>
      <c r="F10" s="18">
        <f>Historicals!F16</f>
        <v>23595</v>
      </c>
      <c r="G10" s="18">
        <f>Historicals!G16</f>
        <v>23994</v>
      </c>
      <c r="H10">
        <f>H8*Assumptions!H9</f>
        <v>28896.38103267891</v>
      </c>
      <c r="I10">
        <f>I8*Assumptions!I9</f>
        <v>32074.982946273594</v>
      </c>
      <c r="J10">
        <f>J8*Assumptions!J9</f>
        <v>35442.856155632318</v>
      </c>
      <c r="K10">
        <f>K8*Assumptions!K9</f>
        <v>38721.320350028305</v>
      </c>
      <c r="L10">
        <f>L8*Assumptions!L9</f>
        <v>41819.025978030579</v>
      </c>
    </row>
    <row r="11" spans="1:12" x14ac:dyDescent="0.2">
      <c r="A11" t="s">
        <v>45</v>
      </c>
      <c r="B11" t="s">
        <v>51</v>
      </c>
      <c r="C11" s="10">
        <f>C10/C8</f>
        <v>0.65563161169881767</v>
      </c>
      <c r="D11" s="10">
        <f t="shared" ref="D11:H11" si="7">D10/D8</f>
        <v>0.64186284544524053</v>
      </c>
      <c r="E11" s="10">
        <f t="shared" si="7"/>
        <v>0.64312620586163594</v>
      </c>
      <c r="F11" s="10">
        <f t="shared" si="7"/>
        <v>0.65676668707899566</v>
      </c>
      <c r="G11" s="10">
        <f t="shared" si="7"/>
        <v>0.59984999999999999</v>
      </c>
      <c r="H11" s="10">
        <f t="shared" si="7"/>
        <v>0.63127158460445787</v>
      </c>
      <c r="I11" s="10">
        <f t="shared" ref="I11" si="8">I10/I8</f>
        <v>0.63127158460445787</v>
      </c>
      <c r="J11" s="10">
        <f t="shared" ref="J11" si="9">J10/J8</f>
        <v>0.63127158460445787</v>
      </c>
      <c r="K11" s="10">
        <f t="shared" ref="K11" si="10">K10/K8</f>
        <v>0.63127158460445776</v>
      </c>
      <c r="L11" s="10">
        <f t="shared" ref="L11" si="11">L10/L8</f>
        <v>0.63127158460445787</v>
      </c>
    </row>
    <row r="13" spans="1:12" x14ac:dyDescent="0.2">
      <c r="A13" s="1" t="s">
        <v>65</v>
      </c>
    </row>
    <row r="14" spans="1:12" x14ac:dyDescent="0.2">
      <c r="A14" t="s">
        <v>66</v>
      </c>
      <c r="H14">
        <f>H10</f>
        <v>28896.38103267891</v>
      </c>
      <c r="I14">
        <f t="shared" ref="I14:L14" si="12">I10</f>
        <v>32074.982946273594</v>
      </c>
      <c r="J14">
        <f t="shared" si="12"/>
        <v>35442.856155632318</v>
      </c>
      <c r="K14">
        <f t="shared" si="12"/>
        <v>38721.320350028305</v>
      </c>
      <c r="L14">
        <f t="shared" si="12"/>
        <v>41819.025978030579</v>
      </c>
    </row>
    <row r="15" spans="1:12" x14ac:dyDescent="0.2">
      <c r="A15" t="s">
        <v>67</v>
      </c>
      <c r="H15">
        <f>H14*Assumptions!H14</f>
        <v>5056.8666807188092</v>
      </c>
      <c r="I15">
        <f>I14*Assumptions!I14</f>
        <v>5613.122015597879</v>
      </c>
      <c r="J15">
        <f>J14*Assumptions!J14</f>
        <v>6202.4998272356552</v>
      </c>
      <c r="K15">
        <f>K14*Assumptions!K14</f>
        <v>6776.2310612549527</v>
      </c>
      <c r="L15">
        <f>L14*Assumptions!L14</f>
        <v>7318.3295461553507</v>
      </c>
    </row>
    <row r="16" spans="1:12" x14ac:dyDescent="0.2">
      <c r="A16" t="s">
        <v>68</v>
      </c>
      <c r="H16">
        <f>H14-H15</f>
        <v>23839.514351960101</v>
      </c>
      <c r="I16">
        <f t="shared" ref="I16:L16" si="13">I14-I15</f>
        <v>26461.860930675713</v>
      </c>
      <c r="J16">
        <f t="shared" si="13"/>
        <v>29240.356328396665</v>
      </c>
      <c r="K16">
        <f t="shared" si="13"/>
        <v>31945.089288773353</v>
      </c>
      <c r="L16">
        <f t="shared" si="13"/>
        <v>34500.696431875229</v>
      </c>
    </row>
    <row r="17" spans="1:12" x14ac:dyDescent="0.2">
      <c r="A17" t="s">
        <v>69</v>
      </c>
      <c r="C17" s="18">
        <f>Historicals!C22</f>
        <v>804</v>
      </c>
      <c r="D17" s="18">
        <f>Historicals!D22</f>
        <v>861</v>
      </c>
      <c r="E17" s="18">
        <f>Historicals!E22</f>
        <v>943</v>
      </c>
      <c r="F17" s="18">
        <f>Historicals!F22</f>
        <v>1034</v>
      </c>
      <c r="G17" s="18">
        <f>Historicals!G22</f>
        <v>1220</v>
      </c>
      <c r="H17">
        <f>H8*Assumptions!H11</f>
        <v>1345.1835468588115</v>
      </c>
      <c r="I17">
        <f>I8*Assumptions!I11</f>
        <v>1493.1537370132808</v>
      </c>
      <c r="J17">
        <f>J8*Assumptions!J11</f>
        <v>1649.9348793996753</v>
      </c>
      <c r="K17">
        <f>K8*Assumptions!K11</f>
        <v>1802.5538557441453</v>
      </c>
      <c r="L17">
        <f>L8*Assumptions!L11</f>
        <v>1946.7581642036769</v>
      </c>
    </row>
    <row r="18" spans="1:12" x14ac:dyDescent="0.2">
      <c r="A18" t="s">
        <v>70</v>
      </c>
      <c r="C18" s="18">
        <f>Historicals!C24</f>
        <v>705</v>
      </c>
      <c r="D18" s="18">
        <f>Historicals!D24</f>
        <v>970</v>
      </c>
      <c r="E18" s="18">
        <f>Historicals!E24</f>
        <v>1059</v>
      </c>
      <c r="F18" s="18">
        <f>Historicals!F24</f>
        <v>1257</v>
      </c>
      <c r="G18" s="18">
        <f>Historicals!G24</f>
        <v>1482</v>
      </c>
      <c r="H18">
        <f>H8*Assumptions!H12</f>
        <v>1695.9593040000002</v>
      </c>
      <c r="I18">
        <f>I8*Assumptions!I12</f>
        <v>1882.5148274400003</v>
      </c>
      <c r="J18">
        <f>J8*Assumptions!J12</f>
        <v>2080.1788843212003</v>
      </c>
      <c r="K18">
        <f>K8*Assumptions!K12</f>
        <v>2272.5954311209116</v>
      </c>
      <c r="L18">
        <f>L8*Assumptions!L12</f>
        <v>2454.4030656105842</v>
      </c>
    </row>
    <row r="19" spans="1:12" x14ac:dyDescent="0.2">
      <c r="A19" t="s">
        <v>71</v>
      </c>
      <c r="H19">
        <f>(H8-G8)*Assumptions!H15</f>
        <v>0</v>
      </c>
      <c r="I19">
        <f>(I8-H8)*Assumptions!I15</f>
        <v>0</v>
      </c>
      <c r="J19">
        <f>(J8-I8)*Assumptions!J15</f>
        <v>0</v>
      </c>
      <c r="K19">
        <f>(K8-J8)*Assumptions!K15</f>
        <v>0</v>
      </c>
      <c r="L19">
        <f>(L8-K8)*Assumptions!L15</f>
        <v>0</v>
      </c>
    </row>
    <row r="20" spans="1:12" x14ac:dyDescent="0.2">
      <c r="A20" t="s">
        <v>72</v>
      </c>
      <c r="H20">
        <f>H16+H17-H18-H19</f>
        <v>23488.738594818911</v>
      </c>
      <c r="I20">
        <f t="shared" ref="I20:L20" si="14">I16+I17-I18-I19</f>
        <v>26072.499840248991</v>
      </c>
      <c r="J20">
        <f t="shared" si="14"/>
        <v>28810.112323475139</v>
      </c>
      <c r="K20">
        <f t="shared" si="14"/>
        <v>31475.047713396583</v>
      </c>
      <c r="L20">
        <f t="shared" si="14"/>
        <v>33993.051530468321</v>
      </c>
    </row>
    <row r="21" spans="1:12" x14ac:dyDescent="0.2">
      <c r="A21" t="s">
        <v>73</v>
      </c>
      <c r="H21" s="10">
        <f>H20/H8</f>
        <v>0.51313599500029072</v>
      </c>
      <c r="I21" s="10">
        <f t="shared" ref="I21:L21" si="15">I20/I8</f>
        <v>0.51313599500029072</v>
      </c>
      <c r="J21" s="10">
        <f t="shared" si="15"/>
        <v>0.51313599500029072</v>
      </c>
      <c r="K21" s="10">
        <f t="shared" si="15"/>
        <v>0.51313599500029061</v>
      </c>
      <c r="L21" s="10">
        <f t="shared" si="15"/>
        <v>0.51313599500029083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4DFA-3A9D-C94A-BAF0-7141678566ED}">
  <dimension ref="A1:L47"/>
  <sheetViews>
    <sheetView workbookViewId="0">
      <selection activeCell="C32" sqref="C32"/>
    </sheetView>
  </sheetViews>
  <sheetFormatPr baseColWidth="10" defaultRowHeight="16" x14ac:dyDescent="0.2"/>
  <cols>
    <col min="1" max="1" width="35.83203125" customWidth="1"/>
    <col min="3" max="3" width="15.1640625" bestFit="1" customWidth="1"/>
  </cols>
  <sheetData>
    <row r="1" spans="1:12" ht="19" x14ac:dyDescent="0.25">
      <c r="A1" s="4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">
      <c r="A3" s="5" t="s">
        <v>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">
      <c r="A6" s="6" t="s">
        <v>5</v>
      </c>
      <c r="B6" s="6" t="s">
        <v>3</v>
      </c>
      <c r="C6" s="6" t="s">
        <v>4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</row>
    <row r="7" spans="1:12" x14ac:dyDescent="0.2">
      <c r="A7" s="1" t="s">
        <v>98</v>
      </c>
    </row>
    <row r="8" spans="1:12" x14ac:dyDescent="0.2">
      <c r="A8" s="5" t="s">
        <v>91</v>
      </c>
      <c r="B8" t="s">
        <v>51</v>
      </c>
      <c r="C8" s="19">
        <f>WACC!C26</f>
        <v>8.9417386461097995E-2</v>
      </c>
    </row>
    <row r="9" spans="1:12" x14ac:dyDescent="0.2">
      <c r="A9" s="5" t="s">
        <v>99</v>
      </c>
      <c r="B9" t="s">
        <v>51</v>
      </c>
      <c r="C9" s="24">
        <v>0.03</v>
      </c>
    </row>
    <row r="10" spans="1:12" x14ac:dyDescent="0.2">
      <c r="A10" s="5" t="s">
        <v>100</v>
      </c>
      <c r="C10" s="27">
        <v>46295</v>
      </c>
    </row>
    <row r="11" spans="1:12" x14ac:dyDescent="0.2">
      <c r="A11" s="5" t="s">
        <v>101</v>
      </c>
      <c r="C11" t="str">
        <f>IF(C9&lt;C8, "OK", "ERROR")</f>
        <v>OK</v>
      </c>
    </row>
    <row r="13" spans="1:12" x14ac:dyDescent="0.2">
      <c r="A13" s="1" t="s">
        <v>102</v>
      </c>
    </row>
    <row r="14" spans="1:12" x14ac:dyDescent="0.2">
      <c r="A14" s="5" t="s">
        <v>72</v>
      </c>
      <c r="B14" t="s">
        <v>25</v>
      </c>
      <c r="I14" s="34">
        <f>Projections!I20</f>
        <v>26072.499840248991</v>
      </c>
      <c r="J14" s="34">
        <f>Projections!J20</f>
        <v>28810.112323475139</v>
      </c>
      <c r="K14" s="34">
        <f>Projections!K20</f>
        <v>31475.047713396583</v>
      </c>
      <c r="L14" s="34">
        <f>Projections!L20</f>
        <v>33993.051530468321</v>
      </c>
    </row>
    <row r="15" spans="1:12" x14ac:dyDescent="0.2">
      <c r="A15" s="5" t="s">
        <v>103</v>
      </c>
      <c r="B15" t="s">
        <v>107</v>
      </c>
      <c r="I15" s="28">
        <v>0.5</v>
      </c>
      <c r="J15">
        <f>I15+1</f>
        <v>1.5</v>
      </c>
      <c r="K15">
        <f t="shared" ref="K15:L15" si="0">J15+1</f>
        <v>2.5</v>
      </c>
      <c r="L15">
        <f t="shared" si="0"/>
        <v>3.5</v>
      </c>
    </row>
    <row r="16" spans="1:12" x14ac:dyDescent="0.2">
      <c r="A16" s="5" t="s">
        <v>104</v>
      </c>
      <c r="B16" t="s">
        <v>92</v>
      </c>
      <c r="I16" s="21">
        <f>1/(1+$C$8)^I15</f>
        <v>0.95808237071196245</v>
      </c>
      <c r="J16" s="21">
        <f t="shared" ref="J16:L16" si="1">1/(1+$C$8)^J15</f>
        <v>0.87944472212274039</v>
      </c>
      <c r="K16" s="21">
        <f t="shared" si="1"/>
        <v>0.80726150789603213</v>
      </c>
      <c r="L16" s="21">
        <f t="shared" si="1"/>
        <v>0.74100295986496867</v>
      </c>
    </row>
    <row r="17" spans="1:12" x14ac:dyDescent="0.2">
      <c r="A17" s="5" t="s">
        <v>105</v>
      </c>
      <c r="B17" t="s">
        <v>25</v>
      </c>
      <c r="I17" s="26">
        <f>I14*I16</f>
        <v>24979.602457333014</v>
      </c>
      <c r="J17" s="26">
        <f t="shared" ref="J17:L17" si="2">J14*J16</f>
        <v>25336.901226643531</v>
      </c>
      <c r="K17" s="26">
        <f t="shared" si="2"/>
        <v>25408.594478216084</v>
      </c>
      <c r="L17" s="26">
        <f t="shared" si="2"/>
        <v>25188.951798919428</v>
      </c>
    </row>
    <row r="18" spans="1:12" x14ac:dyDescent="0.2">
      <c r="A18" s="5" t="s">
        <v>106</v>
      </c>
      <c r="B18" t="s">
        <v>25</v>
      </c>
      <c r="C18" s="30">
        <f>SUM(I17:L17)</f>
        <v>100914.04996111206</v>
      </c>
    </row>
    <row r="20" spans="1:12" x14ac:dyDescent="0.2">
      <c r="A20" s="1" t="s">
        <v>108</v>
      </c>
    </row>
    <row r="21" spans="1:12" x14ac:dyDescent="0.2">
      <c r="A21" s="5" t="s">
        <v>109</v>
      </c>
      <c r="B21" t="s">
        <v>25</v>
      </c>
      <c r="C21" s="23">
        <f>L14</f>
        <v>33993.051530468321</v>
      </c>
    </row>
    <row r="22" spans="1:12" x14ac:dyDescent="0.2">
      <c r="A22" s="5" t="s">
        <v>110</v>
      </c>
      <c r="B22" t="s">
        <v>25</v>
      </c>
      <c r="C22" s="30">
        <f>C21*(1+C9)/(C8-C9)</f>
        <v>589269.32269742503</v>
      </c>
    </row>
    <row r="23" spans="1:12" x14ac:dyDescent="0.2">
      <c r="A23" s="5" t="s">
        <v>111</v>
      </c>
      <c r="B23" t="s">
        <v>92</v>
      </c>
      <c r="C23" s="21">
        <f>L16</f>
        <v>0.74100295986496867</v>
      </c>
    </row>
    <row r="24" spans="1:12" x14ac:dyDescent="0.2">
      <c r="A24" s="5" t="s">
        <v>121</v>
      </c>
      <c r="B24" t="s">
        <v>25</v>
      </c>
      <c r="C24" s="30">
        <f>C22*C23</f>
        <v>436650.31227641733</v>
      </c>
    </row>
    <row r="25" spans="1:12" x14ac:dyDescent="0.2">
      <c r="A25" s="5" t="s">
        <v>112</v>
      </c>
      <c r="B25" t="s">
        <v>51</v>
      </c>
      <c r="C25" s="20">
        <f>C24/C28</f>
        <v>0.81227540914157192</v>
      </c>
    </row>
    <row r="27" spans="1:12" x14ac:dyDescent="0.2">
      <c r="A27" s="1" t="s">
        <v>113</v>
      </c>
    </row>
    <row r="28" spans="1:12" x14ac:dyDescent="0.2">
      <c r="A28" s="5" t="s">
        <v>114</v>
      </c>
      <c r="B28" t="s">
        <v>25</v>
      </c>
      <c r="C28" s="30">
        <f>C18+C24</f>
        <v>537564.36223752936</v>
      </c>
    </row>
    <row r="29" spans="1:12" x14ac:dyDescent="0.2">
      <c r="A29" s="5" t="s">
        <v>115</v>
      </c>
      <c r="B29" t="s">
        <v>25</v>
      </c>
      <c r="C29" s="30">
        <f>Historicals!C35</f>
        <v>23858</v>
      </c>
    </row>
    <row r="30" spans="1:12" x14ac:dyDescent="0.2">
      <c r="A30" s="5" t="s">
        <v>116</v>
      </c>
      <c r="B30" t="s">
        <v>25</v>
      </c>
      <c r="C30" s="30">
        <f>Historicals!C31</f>
        <v>13942</v>
      </c>
    </row>
    <row r="31" spans="1:12" x14ac:dyDescent="0.2">
      <c r="A31" s="5" t="s">
        <v>117</v>
      </c>
      <c r="B31" t="s">
        <v>25</v>
      </c>
      <c r="C31" s="30">
        <f>C28-C29+C30</f>
        <v>527648.36223752936</v>
      </c>
    </row>
    <row r="32" spans="1:12" x14ac:dyDescent="0.2">
      <c r="A32" s="5" t="s">
        <v>87</v>
      </c>
      <c r="B32" t="s">
        <v>94</v>
      </c>
      <c r="C32" s="7">
        <f>Historicals!C37</f>
        <v>1898</v>
      </c>
    </row>
    <row r="33" spans="1:3" x14ac:dyDescent="0.2">
      <c r="A33" s="5" t="s">
        <v>118</v>
      </c>
      <c r="B33" t="s">
        <v>93</v>
      </c>
      <c r="C33" s="22">
        <f>C31/C32</f>
        <v>278.00229833378785</v>
      </c>
    </row>
    <row r="34" spans="1:3" x14ac:dyDescent="0.2">
      <c r="A34" s="5" t="s">
        <v>119</v>
      </c>
      <c r="B34" t="s">
        <v>93</v>
      </c>
      <c r="C34" s="22">
        <f>WACC!C18</f>
        <v>360.66</v>
      </c>
    </row>
    <row r="35" spans="1:3" x14ac:dyDescent="0.2">
      <c r="A35" s="5" t="s">
        <v>120</v>
      </c>
      <c r="B35" t="s">
        <v>51</v>
      </c>
      <c r="C35" s="20">
        <f>C33/C34-1</f>
        <v>-0.22918455516611813</v>
      </c>
    </row>
    <row r="37" spans="1:3" x14ac:dyDescent="0.2">
      <c r="A37" s="29" t="s">
        <v>122</v>
      </c>
    </row>
    <row r="38" spans="1:3" x14ac:dyDescent="0.2">
      <c r="A38" s="5" t="s">
        <v>123</v>
      </c>
      <c r="B38" t="s">
        <v>25</v>
      </c>
      <c r="C38" s="33">
        <f>Projections!L10+Projections!L17</f>
        <v>43765.784142234254</v>
      </c>
    </row>
    <row r="39" spans="1:3" x14ac:dyDescent="0.2">
      <c r="A39" s="5" t="s">
        <v>124</v>
      </c>
      <c r="B39" t="s">
        <v>92</v>
      </c>
      <c r="C39" s="31">
        <f>C22*(1+C8)^0.5/C38</f>
        <v>14.053233728641764</v>
      </c>
    </row>
    <row r="40" spans="1:3" x14ac:dyDescent="0.2">
      <c r="A40" s="5" t="s">
        <v>125</v>
      </c>
      <c r="B40" t="s">
        <v>92</v>
      </c>
      <c r="C40" s="32">
        <v>18</v>
      </c>
    </row>
    <row r="41" spans="1:3" x14ac:dyDescent="0.2">
      <c r="A41" s="5" t="s">
        <v>126</v>
      </c>
      <c r="B41" t="s">
        <v>25</v>
      </c>
      <c r="C41" s="26">
        <f>C38*C40</f>
        <v>787784.11456021655</v>
      </c>
    </row>
    <row r="42" spans="1:3" x14ac:dyDescent="0.2">
      <c r="A42" s="5" t="s">
        <v>127</v>
      </c>
      <c r="B42" t="s">
        <v>92</v>
      </c>
      <c r="C42" s="21">
        <f>1/(1+C8)^(L15+0.5)</f>
        <v>0.70994187249201035</v>
      </c>
    </row>
    <row r="43" spans="1:3" x14ac:dyDescent="0.2">
      <c r="A43" s="5" t="s">
        <v>121</v>
      </c>
      <c r="B43" t="s">
        <v>25</v>
      </c>
      <c r="C43" s="30">
        <f>C41*C42</f>
        <v>559280.9294103405</v>
      </c>
    </row>
    <row r="44" spans="1:3" x14ac:dyDescent="0.2">
      <c r="A44" s="5" t="s">
        <v>114</v>
      </c>
      <c r="B44" t="s">
        <v>25</v>
      </c>
      <c r="C44" s="30">
        <f>C18+C43</f>
        <v>660194.97937145259</v>
      </c>
    </row>
    <row r="45" spans="1:3" x14ac:dyDescent="0.2">
      <c r="A45" s="5" t="s">
        <v>117</v>
      </c>
      <c r="B45" t="s">
        <v>25</v>
      </c>
      <c r="C45" s="30">
        <f>C44-C29+C30</f>
        <v>650278.97937145259</v>
      </c>
    </row>
    <row r="46" spans="1:3" x14ac:dyDescent="0.2">
      <c r="A46" s="5" t="s">
        <v>118</v>
      </c>
      <c r="B46" t="s">
        <v>93</v>
      </c>
      <c r="C46" s="22">
        <f>C45/C32</f>
        <v>342.61273939486438</v>
      </c>
    </row>
    <row r="47" spans="1:3" x14ac:dyDescent="0.2">
      <c r="A47" s="5" t="s">
        <v>128</v>
      </c>
      <c r="B47" t="s">
        <v>51</v>
      </c>
      <c r="C47" s="10">
        <f>(C41/(1+C8)^0.5*C8-C21)/(C41/(1+C8)^0.5+C21)</f>
        <v>4.2466665955709845E-2</v>
      </c>
    </row>
  </sheetData>
  <pageMargins left="0.7" right="0.7" top="0.75" bottom="0.75" header="0.3" footer="0.3"/>
  <ignoredErrors>
    <ignoredError sqref="C2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FE9E-B561-AF4F-B680-1FD9CDAF9331}">
  <dimension ref="A1:N28"/>
  <sheetViews>
    <sheetView workbookViewId="0">
      <selection activeCell="N7" sqref="N7"/>
    </sheetView>
  </sheetViews>
  <sheetFormatPr baseColWidth="10" defaultRowHeight="16" x14ac:dyDescent="0.2"/>
  <cols>
    <col min="1" max="1" width="35.83203125" customWidth="1"/>
    <col min="3" max="3" width="16.83203125" bestFit="1" customWidth="1"/>
  </cols>
  <sheetData>
    <row r="1" spans="1:14" ht="19" x14ac:dyDescent="0.25">
      <c r="A1" s="2" t="s">
        <v>0</v>
      </c>
    </row>
    <row r="2" spans="1:14" x14ac:dyDescent="0.2">
      <c r="A2" t="s">
        <v>1</v>
      </c>
    </row>
    <row r="3" spans="1:14" x14ac:dyDescent="0.2">
      <c r="A3" t="s">
        <v>15</v>
      </c>
    </row>
    <row r="4" spans="1:14" x14ac:dyDescent="0.2">
      <c r="A4" t="s">
        <v>2</v>
      </c>
    </row>
    <row r="6" spans="1:14" x14ac:dyDescent="0.2">
      <c r="A6" s="1" t="s">
        <v>75</v>
      </c>
      <c r="B6" t="s">
        <v>76</v>
      </c>
      <c r="N6" t="s">
        <v>97</v>
      </c>
    </row>
    <row r="7" spans="1:14" x14ac:dyDescent="0.2">
      <c r="A7" t="s">
        <v>77</v>
      </c>
      <c r="B7" t="s">
        <v>51</v>
      </c>
      <c r="C7" s="10">
        <v>5.28E-2</v>
      </c>
    </row>
    <row r="8" spans="1:14" x14ac:dyDescent="0.2">
      <c r="A8" t="s">
        <v>78</v>
      </c>
      <c r="B8" t="s">
        <v>51</v>
      </c>
      <c r="C8" s="10">
        <v>0.05</v>
      </c>
    </row>
    <row r="9" spans="1:14" x14ac:dyDescent="0.2">
      <c r="A9" t="s">
        <v>79</v>
      </c>
      <c r="B9" t="s">
        <v>92</v>
      </c>
      <c r="C9">
        <v>0.76</v>
      </c>
    </row>
    <row r="10" spans="1:14" x14ac:dyDescent="0.2">
      <c r="A10" t="s">
        <v>80</v>
      </c>
      <c r="B10" t="s">
        <v>51</v>
      </c>
      <c r="C10" s="10">
        <f>C7+C9*C8</f>
        <v>9.0800000000000006E-2</v>
      </c>
    </row>
    <row r="12" spans="1:14" x14ac:dyDescent="0.2">
      <c r="A12" s="1" t="s">
        <v>81</v>
      </c>
    </row>
    <row r="13" spans="1:14" x14ac:dyDescent="0.2">
      <c r="A13" t="s">
        <v>82</v>
      </c>
      <c r="B13" t="s">
        <v>51</v>
      </c>
      <c r="C13" s="14">
        <f>C7+C28</f>
        <v>6.0299999999999999E-2</v>
      </c>
    </row>
    <row r="14" spans="1:14" x14ac:dyDescent="0.2">
      <c r="A14" t="s">
        <v>83</v>
      </c>
      <c r="B14" t="s">
        <v>51</v>
      </c>
      <c r="C14" s="19">
        <f>Assumptions!H14</f>
        <v>0.17499999999999999</v>
      </c>
    </row>
    <row r="15" spans="1:14" x14ac:dyDescent="0.2">
      <c r="A15" t="s">
        <v>84</v>
      </c>
      <c r="B15" t="s">
        <v>51</v>
      </c>
      <c r="C15" s="10">
        <f>C13*(1-C14)</f>
        <v>4.97475E-2</v>
      </c>
    </row>
    <row r="17" spans="1:3" x14ac:dyDescent="0.2">
      <c r="A17" s="1" t="s">
        <v>85</v>
      </c>
    </row>
    <row r="18" spans="1:3" x14ac:dyDescent="0.2">
      <c r="A18" t="s">
        <v>86</v>
      </c>
      <c r="B18" t="s">
        <v>93</v>
      </c>
      <c r="C18" s="22">
        <v>360.66</v>
      </c>
    </row>
    <row r="19" spans="1:3" x14ac:dyDescent="0.2">
      <c r="A19" t="s">
        <v>87</v>
      </c>
      <c r="B19" t="s">
        <v>94</v>
      </c>
      <c r="C19" s="25">
        <f>Historicals!C37</f>
        <v>1898</v>
      </c>
    </row>
    <row r="20" spans="1:3" x14ac:dyDescent="0.2">
      <c r="A20" t="s">
        <v>88</v>
      </c>
      <c r="B20" t="s">
        <v>25</v>
      </c>
      <c r="C20" s="26">
        <f>C18*C19</f>
        <v>684532.68</v>
      </c>
    </row>
    <row r="21" spans="1:3" x14ac:dyDescent="0.2">
      <c r="A21" t="s">
        <v>38</v>
      </c>
      <c r="B21" t="s">
        <v>25</v>
      </c>
      <c r="C21" s="25">
        <f>Historicals!C35</f>
        <v>23858</v>
      </c>
    </row>
    <row r="22" spans="1:3" x14ac:dyDescent="0.2">
      <c r="A22" t="s">
        <v>95</v>
      </c>
      <c r="B22" t="s">
        <v>25</v>
      </c>
      <c r="C22" s="26">
        <f>C20+C21</f>
        <v>708390.68</v>
      </c>
    </row>
    <row r="23" spans="1:3" x14ac:dyDescent="0.2">
      <c r="A23" t="s">
        <v>89</v>
      </c>
      <c r="B23" t="s">
        <v>51</v>
      </c>
      <c r="C23" s="10">
        <f>C20/C22</f>
        <v>0.96632084431150334</v>
      </c>
    </row>
    <row r="24" spans="1:3" x14ac:dyDescent="0.2">
      <c r="A24" t="s">
        <v>90</v>
      </c>
      <c r="B24" t="s">
        <v>51</v>
      </c>
      <c r="C24" s="10">
        <f>C21/C22</f>
        <v>3.367915568849663E-2</v>
      </c>
    </row>
    <row r="26" spans="1:3" x14ac:dyDescent="0.2">
      <c r="A26" s="1" t="s">
        <v>91</v>
      </c>
      <c r="B26" t="s">
        <v>51</v>
      </c>
      <c r="C26" s="10">
        <f>C23*C10+C24*C15</f>
        <v>8.9417386461097995E-2</v>
      </c>
    </row>
    <row r="28" spans="1:3" x14ac:dyDescent="0.2">
      <c r="A28" t="s">
        <v>96</v>
      </c>
      <c r="B28" t="s">
        <v>51</v>
      </c>
      <c r="C28" s="24">
        <v>7.4999999999999997E-3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2113-E615-B846-8C63-5E36B57F727A}">
  <dimension ref="A1:G23"/>
  <sheetViews>
    <sheetView tabSelected="1" workbookViewId="0">
      <selection activeCell="H31" sqref="H31"/>
    </sheetView>
  </sheetViews>
  <sheetFormatPr baseColWidth="10" defaultRowHeight="16" x14ac:dyDescent="0.2"/>
  <cols>
    <col min="1" max="1" width="35.83203125" customWidth="1"/>
    <col min="2" max="2" width="19.33203125" bestFit="1" customWidth="1"/>
  </cols>
  <sheetData>
    <row r="1" spans="1:7" ht="19" x14ac:dyDescent="0.25">
      <c r="A1" s="2" t="s">
        <v>0</v>
      </c>
    </row>
    <row r="2" spans="1:7" x14ac:dyDescent="0.2">
      <c r="A2" t="s">
        <v>1</v>
      </c>
    </row>
    <row r="3" spans="1:7" x14ac:dyDescent="0.2">
      <c r="A3" t="s">
        <v>15</v>
      </c>
    </row>
    <row r="4" spans="1:7" x14ac:dyDescent="0.2">
      <c r="A4" t="s">
        <v>2</v>
      </c>
    </row>
    <row r="6" spans="1:7" x14ac:dyDescent="0.2">
      <c r="A6" s="1" t="s">
        <v>129</v>
      </c>
    </row>
    <row r="8" spans="1:7" x14ac:dyDescent="0.2">
      <c r="B8" t="s">
        <v>130</v>
      </c>
      <c r="C8" s="14">
        <f>D8-0.5%</f>
        <v>1.9999999999999997E-2</v>
      </c>
      <c r="D8" s="14">
        <f>E8-0.5%</f>
        <v>2.4999999999999998E-2</v>
      </c>
      <c r="E8" s="19">
        <f>DCF!C9</f>
        <v>0.03</v>
      </c>
      <c r="F8" s="14">
        <f>E8+0.5%</f>
        <v>3.4999999999999996E-2</v>
      </c>
      <c r="G8" s="14">
        <f>F8+0.5%</f>
        <v>3.9999999999999994E-2</v>
      </c>
    </row>
    <row r="9" spans="1:7" x14ac:dyDescent="0.2">
      <c r="B9" s="14">
        <f>B10-0.5%</f>
        <v>7.9417386461097986E-2</v>
      </c>
      <c r="C9" s="35" cm="1">
        <f t="array" ref="C9">(SUMPRODUCT(DCF!$I$14:$L$14/(1+$B9)^DCF!$I$15:$L$15)+DCF!$L$14*(1+C$8)/($B9-C$8)/(1+$B9)^DCF!$L$15-DCF!$C$29+DCF!$C$30)/DCF!$C$32</f>
        <v>284.23615080961446</v>
      </c>
      <c r="D9" s="35" cm="1">
        <f t="array" ref="D9">(SUMPRODUCT(DCF!$I$14:$L$14/(1+$B9)^DCF!$I$15:$L$15)+DCF!$L$14*(1+D$8)/($B9-D$8)/(1+$B9)^DCF!$L$15-DCF!$C$29+DCF!$C$30)/DCF!$C$32</f>
        <v>307.11526476299878</v>
      </c>
      <c r="E9" s="35" cm="1">
        <f t="array" ref="E9">(SUMPRODUCT(DCF!$I$14:$L$14/(1+$B9)^DCF!$I$15:$L$15)+DCF!$L$14*(1+E$8)/($B9-E$8)/(1+$B9)^DCF!$L$15-DCF!$C$29+DCF!$C$30)/DCF!$C$32</f>
        <v>334.6241488422063</v>
      </c>
      <c r="F9" s="35" cm="1">
        <f t="array" ref="F9">(SUMPRODUCT(DCF!$I$14:$L$14/(1+$B9)^DCF!$I$15:$L$15)+DCF!$L$14*(1+F$8)/($B9-F$8)/(1+$B9)^DCF!$L$15-DCF!$C$29+DCF!$C$30)/DCF!$C$32</f>
        <v>368.32630233029715</v>
      </c>
      <c r="G9" s="35" cm="1">
        <f t="array" ref="G9">(SUMPRODUCT(DCF!$I$14:$L$14/(1+$B9)^DCF!$I$15:$L$15)+DCF!$L$14*(1+G$8)/($B9-G$8)/(1+$B9)^DCF!$L$15-DCF!$C$29+DCF!$C$30)/DCF!$C$32</f>
        <v>410.57852889879217</v>
      </c>
    </row>
    <row r="10" spans="1:7" x14ac:dyDescent="0.2">
      <c r="B10" s="14">
        <f>B11-0.5%</f>
        <v>8.441738646109799E-2</v>
      </c>
      <c r="C10" s="35" cm="1">
        <f t="array" ref="C10">(SUMPRODUCT(DCF!$I$14:$L$14/(1+$B10)^DCF!$I$15:$L$15)+DCF!$L$14*(1+C$8)/($B10-C$8)/(1+$B10)^DCF!$L$15-DCF!$C$29+DCF!$C$30)/DCF!$C$32</f>
        <v>261.98902990840577</v>
      </c>
      <c r="D10" s="35" cm="1">
        <f t="array" ref="D10">(SUMPRODUCT(DCF!$I$14:$L$14/(1+$B10)^DCF!$I$15:$L$15)+DCF!$L$14*(1+D$8)/($B10-D$8)/(1+$B10)^DCF!$L$15-DCF!$C$29+DCF!$C$30)/DCF!$C$32</f>
        <v>281.09442940206714</v>
      </c>
      <c r="E10" s="35" cm="1">
        <f t="array" ref="E10">(SUMPRODUCT(DCF!$I$14:$L$14/(1+$B10)^DCF!$I$15:$L$15)+DCF!$L$14*(1+E$8)/($B10-E$8)/(1+$B10)^DCF!$L$15-DCF!$C$29+DCF!$C$30)/DCF!$C$32</f>
        <v>303.71072876360802</v>
      </c>
      <c r="F10" s="35" cm="1">
        <f t="array" ref="F10">(SUMPRODUCT(DCF!$I$14:$L$14/(1+$B10)^DCF!$I$15:$L$15)+DCF!$L$14*(1+F$8)/($B10-F$8)/(1+$B10)^DCF!$L$15-DCF!$C$29+DCF!$C$30)/DCF!$C$32</f>
        <v>330.90361563435368</v>
      </c>
      <c r="G10" s="35" cm="1">
        <f t="array" ref="G10">(SUMPRODUCT(DCF!$I$14:$L$14/(1+$B10)^DCF!$I$15:$L$15)+DCF!$L$14*(1+G$8)/($B10-G$8)/(1+$B10)^DCF!$L$15-DCF!$C$29+DCF!$C$30)/DCF!$C$32</f>
        <v>364.21862923008393</v>
      </c>
    </row>
    <row r="11" spans="1:7" x14ac:dyDescent="0.2">
      <c r="B11" s="19">
        <f>DCF!C8</f>
        <v>8.9417386461097995E-2</v>
      </c>
      <c r="C11" s="35" cm="1">
        <f t="array" ref="C11">(SUMPRODUCT(DCF!$I$14:$L$14/(1+$B11)^DCF!$I$15:$L$15)+DCF!$L$14*(1+C$8)/($B11-C$8)/(1+$B11)^DCF!$L$15-DCF!$C$29+DCF!$C$30)/DCF!$C$32</f>
        <v>242.94920205170345</v>
      </c>
      <c r="D11" s="35" cm="1">
        <f t="array" ref="D11">(SUMPRODUCT(DCF!$I$14:$L$14/(1+$B11)^DCF!$I$15:$L$15)+DCF!$L$14*(1+D$8)/($B11-D$8)/(1+$B11)^DCF!$L$15-DCF!$C$29+DCF!$C$30)/DCF!$C$32</f>
        <v>259.11536062217317</v>
      </c>
      <c r="E11" s="37" cm="1">
        <f t="array" ref="E11">(SUMPRODUCT(DCF!$I$14:$L$14/(1+$B11)^DCF!$I$15:$L$15)+DCF!$L$14*(1+E$8)/($B11-E$8)/(1+$B11)^DCF!$L$15-DCF!$C$29+DCF!$C$30)/DCF!$C$32</f>
        <v>278.00229833378785</v>
      </c>
      <c r="F11" s="35" cm="1">
        <f t="array" ref="F11">(SUMPRODUCT(DCF!$I$14:$L$14/(1+$B11)^DCF!$I$15:$L$15)+DCF!$L$14*(1+F$8)/($B11-F$8)/(1+$B11)^DCF!$L$15-DCF!$C$29+DCF!$C$30)/DCF!$C$32</f>
        <v>300.3599903281567</v>
      </c>
      <c r="G11" s="35" cm="1">
        <f t="array" ref="G11">(SUMPRODUCT(DCF!$I$14:$L$14/(1+$B11)^DCF!$I$15:$L$15)+DCF!$L$14*(1+G$8)/($B11-G$8)/(1+$B11)^DCF!$L$15-DCF!$C$29+DCF!$C$30)/DCF!$C$32</f>
        <v>327.24193858038512</v>
      </c>
    </row>
    <row r="12" spans="1:7" x14ac:dyDescent="0.2">
      <c r="B12" s="14">
        <f>B11+0.5%</f>
        <v>9.4417386461097999E-2</v>
      </c>
      <c r="C12" s="35" cm="1">
        <f t="array" ref="C12">(SUMPRODUCT(DCF!$I$14:$L$14/(1+$B12)^DCF!$I$15:$L$15)+DCF!$L$14*(1+C$8)/($B12-C$8)/(1+$B12)^DCF!$L$15-DCF!$C$29+DCF!$C$30)/DCF!$C$32</f>
        <v>226.47013264220729</v>
      </c>
      <c r="D12" s="35" cm="1">
        <f t="array" ref="D12">(SUMPRODUCT(DCF!$I$14:$L$14/(1+$B12)^DCF!$I$15:$L$15)+DCF!$L$14*(1+D$8)/($B12-D$8)/(1+$B12)^DCF!$L$15-DCF!$C$29+DCF!$C$30)/DCF!$C$32</f>
        <v>240.30464377238772</v>
      </c>
      <c r="E12" s="35" cm="1">
        <f t="array" ref="E12">(SUMPRODUCT(DCF!$I$14:$L$14/(1+$B12)^DCF!$I$15:$L$15)+DCF!$L$14*(1+E$8)/($B12-E$8)/(1+$B12)^DCF!$L$15-DCF!$C$29+DCF!$C$30)/DCF!$C$32</f>
        <v>256.28679110611625</v>
      </c>
      <c r="F12" s="35" cm="1">
        <f t="array" ref="F12">(SUMPRODUCT(DCF!$I$14:$L$14/(1+$B12)^DCF!$I$15:$L$15)+DCF!$L$14*(1+F$8)/($B12-F$8)/(1+$B12)^DCF!$L$15-DCF!$C$29+DCF!$C$30)/DCF!$C$32</f>
        <v>274.95874832304997</v>
      </c>
      <c r="G12" s="35" cm="1">
        <f t="array" ref="G12">(SUMPRODUCT(DCF!$I$14:$L$14/(1+$B12)^DCF!$I$15:$L$15)+DCF!$L$14*(1+G$8)/($B12-G$8)/(1+$B12)^DCF!$L$15-DCF!$C$29+DCF!$C$30)/DCF!$C$32</f>
        <v>297.06195397568035</v>
      </c>
    </row>
    <row r="13" spans="1:7" x14ac:dyDescent="0.2">
      <c r="B13" s="14">
        <f>B12+0.5%</f>
        <v>9.9417386461098003E-2</v>
      </c>
      <c r="C13" s="35" cm="1">
        <f t="array" ref="C13">(SUMPRODUCT(DCF!$I$14:$L$14/(1+$B13)^DCF!$I$15:$L$15)+DCF!$L$14*(1+C$8)/($B13-C$8)/(1+$B13)^DCF!$L$15-DCF!$C$29+DCF!$C$30)/DCF!$C$32</f>
        <v>212.0681077492024</v>
      </c>
      <c r="D13" s="35" cm="1">
        <f t="array" ref="D13">(SUMPRODUCT(DCF!$I$14:$L$14/(1+$B13)^DCF!$I$15:$L$15)+DCF!$L$14*(1+D$8)/($B13-D$8)/(1+$B13)^DCF!$L$15-DCF!$C$29+DCF!$C$30)/DCF!$C$32</f>
        <v>224.02359946098966</v>
      </c>
      <c r="E13" s="35" cm="1">
        <f t="array" ref="E13">(SUMPRODUCT(DCF!$I$14:$L$14/(1+$B13)^DCF!$I$15:$L$15)+DCF!$L$14*(1+E$8)/($B13-E$8)/(1+$B13)^DCF!$L$15-DCF!$C$29+DCF!$C$30)/DCF!$C$32</f>
        <v>237.70135303270558</v>
      </c>
      <c r="F13" s="35" cm="1">
        <f t="array" ref="F13">(SUMPRODUCT(DCF!$I$14:$L$14/(1+$B13)^DCF!$I$15:$L$15)+DCF!$L$14*(1+F$8)/($B13-F$8)/(1+$B13)^DCF!$L$15-DCF!$C$29+DCF!$C$30)/DCF!$C$32</f>
        <v>253.50240814196144</v>
      </c>
      <c r="G13" s="35" cm="1">
        <f t="array" ref="G13">(SUMPRODUCT(DCF!$I$14:$L$14/(1+$B13)^DCF!$I$15:$L$15)+DCF!$L$14*(1+G$8)/($B13-G$8)/(1+$B13)^DCF!$L$15-DCF!$C$29+DCF!$C$30)/DCF!$C$32</f>
        <v>271.9627951488938</v>
      </c>
    </row>
    <row r="16" spans="1:7" x14ac:dyDescent="0.2">
      <c r="A16" s="1" t="s">
        <v>131</v>
      </c>
    </row>
    <row r="18" spans="2:7" x14ac:dyDescent="0.2">
      <c r="B18" t="s">
        <v>132</v>
      </c>
      <c r="C18" s="31">
        <f>D18-2</f>
        <v>14</v>
      </c>
      <c r="D18" s="31">
        <f>E18-2</f>
        <v>16</v>
      </c>
      <c r="E18" s="36">
        <f>DCF!C40</f>
        <v>18</v>
      </c>
      <c r="F18" s="31">
        <f>E18+2</f>
        <v>20</v>
      </c>
      <c r="G18" s="31">
        <f>F18+2</f>
        <v>22</v>
      </c>
    </row>
    <row r="19" spans="2:7" x14ac:dyDescent="0.2">
      <c r="B19" s="14">
        <f>B20-0.5%</f>
        <v>7.9417386461097986E-2</v>
      </c>
      <c r="C19" s="35" cm="1">
        <f t="array" ref="C19">(SUMPRODUCT(DCF!$I$14:$L$14/(1+$B19)^DCF!$I$15:$L$15)+DCF!$C$38*C$18/(1+$B19)^(DCF!$L$15+0.5)-DCF!$C$29+DCF!$C$30)/DCF!$C$32</f>
        <v>286.7368612980415</v>
      </c>
      <c r="D19" s="35" cm="1">
        <f t="array" ref="D19">(SUMPRODUCT(DCF!$I$14:$L$14/(1+$B19)^DCF!$I$15:$L$15)+DCF!$C$38*D$18/(1+$B19)^(DCF!$L$15+0.5)-DCF!$C$29+DCF!$C$30)/DCF!$C$32</f>
        <v>320.70805950718147</v>
      </c>
      <c r="E19" s="35" cm="1">
        <f t="array" ref="E19">(SUMPRODUCT(DCF!$I$14:$L$14/(1+$B19)^DCF!$I$15:$L$15)+DCF!$C$38*E$18/(1+$B19)^(DCF!$L$15+0.5)-DCF!$C$29+DCF!$C$30)/DCF!$C$32</f>
        <v>354.6792577163215</v>
      </c>
      <c r="F19" s="35" cm="1">
        <f t="array" ref="F19">(SUMPRODUCT(DCF!$I$14:$L$14/(1+$B19)^DCF!$I$15:$L$15)+DCF!$C$38*F$18/(1+$B19)^(DCF!$L$15+0.5)-DCF!$C$29+DCF!$C$30)/DCF!$C$32</f>
        <v>388.65045592546142</v>
      </c>
      <c r="G19" s="35" cm="1">
        <f t="array" ref="G19">(SUMPRODUCT(DCF!$I$14:$L$14/(1+$B19)^DCF!$I$15:$L$15)+DCF!$C$38*G$18/(1+$B19)^(DCF!$L$15+0.5)-DCF!$C$29+DCF!$C$30)/DCF!$C$32</f>
        <v>422.62165413460144</v>
      </c>
    </row>
    <row r="20" spans="2:7" x14ac:dyDescent="0.2">
      <c r="B20" s="14">
        <f>B21-0.5%</f>
        <v>8.441738646109799E-2</v>
      </c>
      <c r="C20" s="35" cm="1">
        <f t="array" ref="C20">(SUMPRODUCT(DCF!$I$14:$L$14/(1+$B20)^DCF!$I$15:$L$15)+DCF!$C$38*C$18/(1+$B20)^(DCF!$L$15+0.5)-DCF!$C$29+DCF!$C$30)/DCF!$C$32</f>
        <v>281.88005869490138</v>
      </c>
      <c r="D20" s="35" cm="1">
        <f t="array" ref="D20">(SUMPRODUCT(DCF!$I$14:$L$14/(1+$B20)^DCF!$I$15:$L$15)+DCF!$C$38*D$18/(1+$B20)^(DCF!$L$15+0.5)-DCF!$C$29+DCF!$C$30)/DCF!$C$32</f>
        <v>315.22904317182974</v>
      </c>
      <c r="E20" s="35" cm="1">
        <f t="array" ref="E20">(SUMPRODUCT(DCF!$I$14:$L$14/(1+$B20)^DCF!$I$15:$L$15)+DCF!$C$38*E$18/(1+$B20)^(DCF!$L$15+0.5)-DCF!$C$29+DCF!$C$30)/DCF!$C$32</f>
        <v>348.57802764875822</v>
      </c>
      <c r="F20" s="35" cm="1">
        <f t="array" ref="F20">(SUMPRODUCT(DCF!$I$14:$L$14/(1+$B20)^DCF!$I$15:$L$15)+DCF!$C$38*F$18/(1+$B20)^(DCF!$L$15+0.5)-DCF!$C$29+DCF!$C$30)/DCF!$C$32</f>
        <v>381.92701212568664</v>
      </c>
      <c r="G20" s="35" cm="1">
        <f t="array" ref="G20">(SUMPRODUCT(DCF!$I$14:$L$14/(1+$B20)^DCF!$I$15:$L$15)+DCF!$C$38*G$18/(1+$B20)^(DCF!$L$15+0.5)-DCF!$C$29+DCF!$C$30)/DCF!$C$32</f>
        <v>415.27599660261507</v>
      </c>
    </row>
    <row r="21" spans="2:7" x14ac:dyDescent="0.2">
      <c r="B21" s="19">
        <f>DCF!C8</f>
        <v>8.9417386461097995E-2</v>
      </c>
      <c r="C21" s="35" cm="1">
        <f t="array" ref="C21">(SUMPRODUCT(DCF!$I$14:$L$14/(1+$B21)^DCF!$I$15:$L$15)+DCF!$C$38*C$18/(1+$B21)^(DCF!$L$15+0.5)-DCF!$C$29+DCF!$C$30)/DCF!$C$32</f>
        <v>277.13083687638408</v>
      </c>
      <c r="D21" s="35" cm="1">
        <f t="array" ref="D21">(SUMPRODUCT(DCF!$I$14:$L$14/(1+$B21)^DCF!$I$15:$L$15)+DCF!$C$38*D$18/(1+$B21)^(DCF!$L$15+0.5)-DCF!$C$29+DCF!$C$30)/DCF!$C$32</f>
        <v>309.87178813562423</v>
      </c>
      <c r="E21" s="37" cm="1">
        <f t="array" ref="E21">(SUMPRODUCT(DCF!$I$14:$L$14/(1+$B21)^DCF!$I$15:$L$15)+DCF!$C$38*E$18/(1+$B21)^(DCF!$L$15+0.5)-DCF!$C$29+DCF!$C$30)/DCF!$C$32</f>
        <v>342.61273939486443</v>
      </c>
      <c r="F21" s="35" cm="1">
        <f t="array" ref="F21">(SUMPRODUCT(DCF!$I$14:$L$14/(1+$B21)^DCF!$I$15:$L$15)+DCF!$C$38*F$18/(1+$B21)^(DCF!$L$15+0.5)-DCF!$C$29+DCF!$C$30)/DCF!$C$32</f>
        <v>375.35369065410458</v>
      </c>
      <c r="G21" s="35" cm="1">
        <f t="array" ref="G21">(SUMPRODUCT(DCF!$I$14:$L$14/(1+$B21)^DCF!$I$15:$L$15)+DCF!$C$38*G$18/(1+$B21)^(DCF!$L$15+0.5)-DCF!$C$29+DCF!$C$30)/DCF!$C$32</f>
        <v>408.09464191334473</v>
      </c>
    </row>
    <row r="22" spans="2:7" x14ac:dyDescent="0.2">
      <c r="B22" s="14">
        <f>B21+0.5%</f>
        <v>9.4417386461097999E-2</v>
      </c>
      <c r="C22" s="35" cm="1">
        <f t="array" ref="C22">(SUMPRODUCT(DCF!$I$14:$L$14/(1+$B22)^DCF!$I$15:$L$15)+DCF!$C$38*C$18/(1+$B22)^(DCF!$L$15+0.5)-DCF!$C$29+DCF!$C$30)/DCF!$C$32</f>
        <v>272.48630949812934</v>
      </c>
      <c r="D22" s="35" cm="1">
        <f t="array" ref="D22">(SUMPRODUCT(DCF!$I$14:$L$14/(1+$B22)^DCF!$I$15:$L$15)+DCF!$C$38*D$18/(1+$B22)^(DCF!$L$15+0.5)-DCF!$C$29+DCF!$C$30)/DCF!$C$32</f>
        <v>304.63302199994911</v>
      </c>
      <c r="E22" s="35" cm="1">
        <f t="array" ref="E22">(SUMPRODUCT(DCF!$I$14:$L$14/(1+$B22)^DCF!$I$15:$L$15)+DCF!$C$38*E$18/(1+$B22)^(DCF!$L$15+0.5)-DCF!$C$29+DCF!$C$30)/DCF!$C$32</f>
        <v>336.77973450176887</v>
      </c>
      <c r="F22" s="35" cm="1">
        <f t="array" ref="F22">(SUMPRODUCT(DCF!$I$14:$L$14/(1+$B22)^DCF!$I$15:$L$15)+DCF!$C$38*F$18/(1+$B22)^(DCF!$L$15+0.5)-DCF!$C$29+DCF!$C$30)/DCF!$C$32</f>
        <v>368.92644700358863</v>
      </c>
      <c r="G22" s="35" cm="1">
        <f t="array" ref="G22">(SUMPRODUCT(DCF!$I$14:$L$14/(1+$B22)^DCF!$I$15:$L$15)+DCF!$C$38*G$18/(1+$B22)^(DCF!$L$15+0.5)-DCF!$C$29+DCF!$C$30)/DCF!$C$32</f>
        <v>401.07315950540846</v>
      </c>
    </row>
    <row r="23" spans="2:7" x14ac:dyDescent="0.2">
      <c r="B23" s="14">
        <f>B22+0.5%</f>
        <v>9.9417386461098003E-2</v>
      </c>
      <c r="C23" s="35" cm="1">
        <f t="array" ref="C23">(SUMPRODUCT(DCF!$I$14:$L$14/(1+$B23)^DCF!$I$15:$L$15)+DCF!$C$38*C$18/(1+$B23)^(DCF!$L$15+0.5)-DCF!$C$29+DCF!$C$30)/DCF!$C$32</f>
        <v>267.94368065094903</v>
      </c>
      <c r="D23" s="35" cm="1">
        <f t="array" ref="D23">(SUMPRODUCT(DCF!$I$14:$L$14/(1+$B23)^DCF!$I$15:$L$15)+DCF!$C$38*D$18/(1+$B23)^(DCF!$L$15+0.5)-DCF!$C$29+DCF!$C$30)/DCF!$C$32</f>
        <v>299.50957500763644</v>
      </c>
      <c r="E23" s="35" cm="1">
        <f t="array" ref="E23">(SUMPRODUCT(DCF!$I$14:$L$14/(1+$B23)^DCF!$I$15:$L$15)+DCF!$C$38*E$18/(1+$B23)^(DCF!$L$15+0.5)-DCF!$C$29+DCF!$C$30)/DCF!$C$32</f>
        <v>331.07546936432391</v>
      </c>
      <c r="F23" s="35" cm="1">
        <f t="array" ref="F23">(SUMPRODUCT(DCF!$I$14:$L$14/(1+$B23)^DCF!$I$15:$L$15)+DCF!$C$38*F$18/(1+$B23)^(DCF!$L$15+0.5)-DCF!$C$29+DCF!$C$30)/DCF!$C$32</f>
        <v>362.64136372101126</v>
      </c>
      <c r="G23" s="35" cm="1">
        <f t="array" ref="G23">(SUMPRODUCT(DCF!$I$14:$L$14/(1+$B23)^DCF!$I$15:$L$15)+DCF!$C$38*G$18/(1+$B23)^(DCF!$L$15+0.5)-DCF!$C$29+DCF!$C$30)/DCF!$C$32</f>
        <v>394.20725807769873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Historicals</vt:lpstr>
      <vt:lpstr>Projections</vt:lpstr>
      <vt:lpstr>DCF</vt:lpstr>
      <vt:lpstr>WACC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U. Latif</dc:creator>
  <cp:lastModifiedBy>Yasin U. Latif</cp:lastModifiedBy>
  <dcterms:created xsi:type="dcterms:W3CDTF">2026-09-30T22:12:56Z</dcterms:created>
  <dcterms:modified xsi:type="dcterms:W3CDTF">2026-10-02T22:49:12Z</dcterms:modified>
</cp:coreProperties>
</file>